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24" sheetId="1" r:id="rId4"/>
    <sheet state="visible" name="May" sheetId="2" r:id="rId5"/>
    <sheet state="visible" name="June" sheetId="3" r:id="rId6"/>
    <sheet state="visible" name="July" sheetId="4" r:id="rId7"/>
    <sheet state="visible" name="Aug" sheetId="5" r:id="rId8"/>
    <sheet state="visible" name="Sept" sheetId="6" r:id="rId9"/>
    <sheet state="visible" name="Oct" sheetId="7" r:id="rId10"/>
    <sheet state="visible" name="Nov" sheetId="8" r:id="rId11"/>
    <sheet state="visible" name="Dec" sheetId="9" r:id="rId12"/>
    <sheet state="visible" name="Jan" sheetId="10" r:id="rId13"/>
    <sheet state="visible" name="Feb 25" sheetId="11" r:id="rId14"/>
    <sheet state="visible" name="March 25" sheetId="12" r:id="rId15"/>
  </sheets>
  <definedNames/>
  <calcPr/>
  <extLst>
    <ext uri="GoogleSheetsCustomDataVersion2">
      <go:sheetsCustomData xmlns:go="http://customooxmlschemas.google.com/" r:id="rId16" roundtripDataChecksum="YeUsyAyMyUUPLabFYWsylu8zrvM6GkdBZX0CNJ91TUY="/>
    </ext>
  </extLst>
</workbook>
</file>

<file path=xl/sharedStrings.xml><?xml version="1.0" encoding="utf-8"?>
<sst xmlns="http://schemas.openxmlformats.org/spreadsheetml/2006/main" count="1257" uniqueCount="113">
  <si>
    <t>April</t>
  </si>
  <si>
    <t>Shopify</t>
  </si>
  <si>
    <t>Products</t>
  </si>
  <si>
    <t>Total revenue</t>
  </si>
  <si>
    <t>Total expense</t>
  </si>
  <si>
    <t>Total P/L</t>
  </si>
  <si>
    <t>Profit %</t>
  </si>
  <si>
    <t>P/pcs</t>
  </si>
  <si>
    <t>Ad spent</t>
  </si>
  <si>
    <t>Total orders</t>
  </si>
  <si>
    <t>Shipped</t>
  </si>
  <si>
    <t>Product expense</t>
  </si>
  <si>
    <t>Delivered</t>
  </si>
  <si>
    <t>RTO</t>
  </si>
  <si>
    <t>Shipping charges</t>
  </si>
  <si>
    <t>RTO%</t>
  </si>
  <si>
    <t>Shipped%</t>
  </si>
  <si>
    <t>Delivered %</t>
  </si>
  <si>
    <t>In-transit</t>
  </si>
  <si>
    <t>In-T Count</t>
  </si>
  <si>
    <t>CPO</t>
  </si>
  <si>
    <t>CPS</t>
  </si>
  <si>
    <t>CPD</t>
  </si>
  <si>
    <t>Cancellation %</t>
  </si>
  <si>
    <t>V1</t>
  </si>
  <si>
    <t>V2</t>
  </si>
  <si>
    <t>V3</t>
  </si>
  <si>
    <t>V4</t>
  </si>
  <si>
    <t>V5</t>
  </si>
  <si>
    <t>V6</t>
  </si>
  <si>
    <t>V7</t>
  </si>
  <si>
    <t>V8</t>
  </si>
  <si>
    <t xml:space="preserve">Total Revenue </t>
  </si>
  <si>
    <t>AOV</t>
  </si>
  <si>
    <t>Total Expance</t>
  </si>
  <si>
    <t>CAC</t>
  </si>
  <si>
    <t>Net P&amp;L</t>
  </si>
  <si>
    <t>ROAS</t>
  </si>
  <si>
    <t>P&amp;L %</t>
  </si>
  <si>
    <t>Amazon</t>
  </si>
  <si>
    <t>Amazon fees</t>
  </si>
  <si>
    <t>May</t>
  </si>
  <si>
    <t>Return</t>
  </si>
  <si>
    <t>Amazon expense</t>
  </si>
  <si>
    <t>June</t>
  </si>
  <si>
    <t xml:space="preserve"> </t>
  </si>
  <si>
    <t>July</t>
  </si>
  <si>
    <t>Aug</t>
  </si>
  <si>
    <t>Sept</t>
  </si>
  <si>
    <t>OCT</t>
  </si>
  <si>
    <t>COGS</t>
  </si>
  <si>
    <t>Logistics</t>
  </si>
  <si>
    <t>Marketing</t>
  </si>
  <si>
    <t>Only Ad spend</t>
  </si>
  <si>
    <t>Amazon Ex</t>
  </si>
  <si>
    <t>Salaries</t>
  </si>
  <si>
    <t>Rent</t>
  </si>
  <si>
    <t>EMI</t>
  </si>
  <si>
    <t>Software Ex</t>
  </si>
  <si>
    <t>Missleneous</t>
  </si>
  <si>
    <t>Indirect Cost</t>
  </si>
  <si>
    <t>Nov</t>
  </si>
  <si>
    <t>Total</t>
  </si>
  <si>
    <t>Blended</t>
  </si>
  <si>
    <t>P&amp;L</t>
  </si>
  <si>
    <t>-</t>
  </si>
  <si>
    <t>Flipkart</t>
  </si>
  <si>
    <t>Flipkart expenses</t>
  </si>
  <si>
    <t>Flipkart Ex</t>
  </si>
  <si>
    <t>Blinkit</t>
  </si>
  <si>
    <t>Ads</t>
  </si>
  <si>
    <t>Transport Chages</t>
  </si>
  <si>
    <t>added in total</t>
  </si>
  <si>
    <t>Logitics</t>
  </si>
  <si>
    <t>Ad Spent</t>
  </si>
  <si>
    <t>Dec</t>
  </si>
  <si>
    <t>V4-V5 Combo</t>
  </si>
  <si>
    <t>Jan</t>
  </si>
  <si>
    <t>V9</t>
  </si>
  <si>
    <t>V7-V4 Combo</t>
  </si>
  <si>
    <t>V1-V4 Combo</t>
  </si>
  <si>
    <t>V2-V4 Combo</t>
  </si>
  <si>
    <t>V6-V2 Combo</t>
  </si>
  <si>
    <t>V6-V4 Combo</t>
  </si>
  <si>
    <t>Commisions</t>
  </si>
  <si>
    <t>Firstcry</t>
  </si>
  <si>
    <t>FirstCry exp</t>
  </si>
  <si>
    <t>Blinkit exp</t>
  </si>
  <si>
    <t>Feb</t>
  </si>
  <si>
    <t>In-transit Rev</t>
  </si>
  <si>
    <t>V1-V2 Combo</t>
  </si>
  <si>
    <t>Busy Book</t>
  </si>
  <si>
    <t>BB</t>
  </si>
  <si>
    <t>V1V4</t>
  </si>
  <si>
    <t>V1V2</t>
  </si>
  <si>
    <t>V1V6</t>
  </si>
  <si>
    <t>V2V4</t>
  </si>
  <si>
    <t>V2V6</t>
  </si>
  <si>
    <t>Product exp</t>
  </si>
  <si>
    <t>Instamart</t>
  </si>
  <si>
    <t>March</t>
  </si>
  <si>
    <t>V1- P of 2</t>
  </si>
  <si>
    <t>V2- P of 2</t>
  </si>
  <si>
    <t>V4- P of 2</t>
  </si>
  <si>
    <t>V4- P of 3</t>
  </si>
  <si>
    <t>V6- P of 2</t>
  </si>
  <si>
    <t>V6- P of 3</t>
  </si>
  <si>
    <t>V9 P of 2</t>
  </si>
  <si>
    <t>Mar</t>
  </si>
  <si>
    <t>Return GMV</t>
  </si>
  <si>
    <t>V4V2</t>
  </si>
  <si>
    <t>V6V2</t>
  </si>
  <si>
    <t>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</si>
</sst>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₹]#,##0"/>
  </numFmts>
  <fonts count="14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7.0"/>
      <color theme="1"/>
      <name val="Arial"/>
    </font>
    <font>
      <b/>
      <sz val="16.0"/>
      <color theme="1"/>
      <name val="Arial"/>
    </font>
    <font>
      <sz val="10.0"/>
      <color theme="1"/>
      <name val="Arial"/>
    </font>
    <font>
      <b/>
      <sz val="13.0"/>
      <color theme="1"/>
      <name val="Arial"/>
    </font>
    <font>
      <b/>
      <sz val="14.0"/>
      <color theme="1"/>
      <name val="Arial"/>
    </font>
    <font>
      <sz val="11.0"/>
      <color rgb="FF1C2B33"/>
      <name val="-apple-system"/>
    </font>
  </fonts>
  <fills count="25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4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2" fontId="2" numFmtId="0" xfId="0" applyAlignment="1" applyBorder="1" applyFill="1" applyFont="1">
      <alignment horizontal="right" vertical="bottom"/>
    </xf>
    <xf borderId="4" fillId="3" fontId="2" numFmtId="0" xfId="0" applyAlignment="1" applyBorder="1" applyFill="1" applyFont="1">
      <alignment horizontal="right" vertical="bottom"/>
    </xf>
    <xf borderId="4" fillId="4" fontId="2" numFmtId="0" xfId="0" applyAlignment="1" applyBorder="1" applyFill="1" applyFont="1">
      <alignment horizontal="right" vertical="bottom"/>
    </xf>
    <xf borderId="4" fillId="5" fontId="2" numFmtId="4" xfId="0" applyAlignment="1" applyBorder="1" applyFill="1" applyFont="1" applyNumberFormat="1">
      <alignment horizontal="right" vertical="bottom"/>
    </xf>
    <xf borderId="4" fillId="0" fontId="2" numFmtId="4" xfId="0" applyAlignment="1" applyBorder="1" applyFont="1" applyNumberFormat="1">
      <alignment horizontal="right" vertical="bottom"/>
    </xf>
    <xf borderId="4" fillId="6" fontId="2" numFmtId="0" xfId="0" applyAlignment="1" applyBorder="1" applyFill="1" applyFont="1">
      <alignment horizontal="right" vertical="bottom"/>
    </xf>
    <xf borderId="4" fillId="7" fontId="2" numFmtId="4" xfId="0" applyAlignment="1" applyBorder="1" applyFill="1" applyFont="1" applyNumberFormat="1">
      <alignment horizontal="right" vertical="bottom"/>
    </xf>
    <xf borderId="4" fillId="8" fontId="2" numFmtId="4" xfId="0" applyAlignment="1" applyBorder="1" applyFill="1" applyFont="1" applyNumberFormat="1">
      <alignment horizontal="right" vertical="bottom"/>
    </xf>
    <xf borderId="4" fillId="9" fontId="2" numFmtId="4" xfId="0" applyAlignment="1" applyBorder="1" applyFill="1" applyFont="1" applyNumberFormat="1">
      <alignment horizontal="right" vertical="bottom"/>
    </xf>
    <xf borderId="0" fillId="0" fontId="2" numFmtId="0" xfId="0" applyFont="1"/>
    <xf borderId="0" fillId="0" fontId="2" numFmtId="4" xfId="0" applyFont="1" applyNumberFormat="1"/>
    <xf borderId="1" fillId="10" fontId="5" numFmtId="0" xfId="0" applyAlignment="1" applyBorder="1" applyFill="1" applyFont="1">
      <alignment vertical="bottom"/>
    </xf>
    <xf borderId="1" fillId="10" fontId="5" numFmtId="0" xfId="0" applyAlignment="1" applyBorder="1" applyFont="1">
      <alignment horizontal="right" vertical="bottom"/>
    </xf>
    <xf borderId="0" fillId="10" fontId="2" numFmtId="0" xfId="0" applyFont="1"/>
    <xf borderId="1" fillId="10" fontId="5" numFmtId="4" xfId="0" applyAlignment="1" applyBorder="1" applyFont="1" applyNumberFormat="1">
      <alignment horizontal="center" vertical="bottom"/>
    </xf>
    <xf borderId="0" fillId="0" fontId="6" numFmtId="0" xfId="0" applyFont="1"/>
    <xf borderId="0" fillId="0" fontId="4" numFmtId="0" xfId="0" applyFont="1"/>
    <xf borderId="4" fillId="0" fontId="6" numFmtId="0" xfId="0" applyAlignment="1" applyBorder="1" applyFont="1">
      <alignment vertical="bottom"/>
    </xf>
    <xf borderId="4" fillId="0" fontId="6" numFmtId="4" xfId="0" applyAlignment="1" applyBorder="1" applyFont="1" applyNumberFormat="1">
      <alignment vertical="bottom"/>
    </xf>
    <xf borderId="4" fillId="2" fontId="4" numFmtId="0" xfId="0" applyAlignment="1" applyBorder="1" applyFont="1">
      <alignment horizontal="right" vertical="bottom"/>
    </xf>
    <xf borderId="4" fillId="3" fontId="4" numFmtId="0" xfId="0" applyAlignment="1" applyBorder="1" applyFont="1">
      <alignment horizontal="right" vertical="bottom"/>
    </xf>
    <xf borderId="4" fillId="4" fontId="4" numFmtId="0" xfId="0" applyAlignment="1" applyBorder="1" applyFont="1">
      <alignment horizontal="right" vertical="bottom"/>
    </xf>
    <xf borderId="4" fillId="5" fontId="4" numFmtId="4" xfId="0" applyAlignment="1" applyBorder="1" applyFont="1" applyNumberFormat="1">
      <alignment horizontal="right" vertical="bottom"/>
    </xf>
    <xf borderId="4" fillId="0" fontId="4" numFmtId="4" xfId="0" applyAlignment="1" applyBorder="1" applyFont="1" applyNumberFormat="1">
      <alignment horizontal="right" vertical="bottom"/>
    </xf>
    <xf borderId="4" fillId="6" fontId="4" numFmtId="0" xfId="0" applyAlignment="1" applyBorder="1" applyFont="1">
      <alignment horizontal="right" vertical="bottom"/>
    </xf>
    <xf borderId="4" fillId="7" fontId="4" numFmtId="0" xfId="0" applyAlignment="1" applyBorder="1" applyFont="1">
      <alignment horizontal="right" vertical="bottom"/>
    </xf>
    <xf borderId="4" fillId="11" fontId="4" numFmtId="0" xfId="0" applyAlignment="1" applyBorder="1" applyFill="1" applyFont="1">
      <alignment horizontal="right" vertical="bottom"/>
    </xf>
    <xf borderId="4" fillId="7" fontId="4" numFmtId="4" xfId="0" applyAlignment="1" applyBorder="1" applyFont="1" applyNumberFormat="1">
      <alignment horizontal="right" vertical="bottom"/>
    </xf>
    <xf borderId="4" fillId="9" fontId="4" numFmtId="4" xfId="0" applyAlignment="1" applyBorder="1" applyFont="1" applyNumberFormat="1">
      <alignment horizontal="right" vertical="bottom"/>
    </xf>
    <xf borderId="4" fillId="3" fontId="4" numFmtId="4" xfId="0" applyAlignment="1" applyBorder="1" applyFont="1" applyNumberFormat="1">
      <alignment horizontal="right" vertical="bottom"/>
    </xf>
    <xf borderId="4" fillId="4" fontId="4" numFmtId="4" xfId="0" applyAlignment="1" applyBorder="1" applyFont="1" applyNumberFormat="1">
      <alignment horizontal="right" vertical="bottom"/>
    </xf>
    <xf borderId="4" fillId="5" fontId="4" numFmtId="4" xfId="0" applyAlignment="1" applyBorder="1" applyFont="1" applyNumberFormat="1">
      <alignment vertical="bottom"/>
    </xf>
    <xf borderId="4" fillId="0" fontId="4" numFmtId="4" xfId="0" applyAlignment="1" applyBorder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1" fillId="10" fontId="8" numFmtId="0" xfId="0" applyAlignment="1" applyBorder="1" applyFont="1">
      <alignment vertical="bottom"/>
    </xf>
    <xf borderId="1" fillId="0" fontId="2" numFmtId="0" xfId="0" applyBorder="1" applyFont="1"/>
    <xf borderId="1" fillId="10" fontId="7" numFmtId="0" xfId="0" applyAlignment="1" applyBorder="1" applyFont="1">
      <alignment vertical="bottom"/>
    </xf>
    <xf borderId="4" fillId="3" fontId="2" numFmtId="4" xfId="0" applyAlignment="1" applyBorder="1" applyFont="1" applyNumberFormat="1">
      <alignment horizontal="right" vertical="bottom"/>
    </xf>
    <xf borderId="4" fillId="4" fontId="2" numFmtId="4" xfId="0" applyAlignment="1" applyBorder="1" applyFont="1" applyNumberFormat="1">
      <alignment horizontal="right" vertical="bottom"/>
    </xf>
    <xf borderId="4" fillId="2" fontId="2" numFmtId="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4" xfId="0" applyAlignment="1" applyBorder="1" applyFont="1" applyNumberFormat="1">
      <alignment vertical="bottom"/>
    </xf>
    <xf borderId="4" fillId="4" fontId="2" numFmtId="2" xfId="0" applyAlignment="1" applyBorder="1" applyFont="1" applyNumberFormat="1">
      <alignment horizontal="right" vertical="bottom"/>
    </xf>
    <xf borderId="1" fillId="7" fontId="2" numFmtId="4" xfId="0" applyAlignment="1" applyBorder="1" applyFont="1" applyNumberFormat="1">
      <alignment horizontal="right" vertical="bottom"/>
    </xf>
    <xf borderId="1" fillId="10" fontId="1" numFmtId="0" xfId="0" applyAlignment="1" applyBorder="1" applyFont="1">
      <alignment vertical="bottom"/>
    </xf>
    <xf borderId="1" fillId="0" fontId="1" numFmtId="0" xfId="0" applyBorder="1" applyFont="1"/>
    <xf borderId="0" fillId="0" fontId="2" numFmtId="9" xfId="0" applyFont="1" applyNumberFormat="1"/>
    <xf borderId="0" fillId="12" fontId="1" numFmtId="0" xfId="0" applyAlignment="1" applyFill="1" applyFont="1">
      <alignment vertical="bottom"/>
    </xf>
    <xf borderId="0" fillId="12" fontId="2" numFmtId="0" xfId="0" applyFont="1"/>
    <xf borderId="1" fillId="10" fontId="9" numFmtId="0" xfId="0" applyAlignment="1" applyBorder="1" applyFont="1">
      <alignment vertical="bottom"/>
    </xf>
    <xf borderId="1" fillId="0" fontId="10" numFmtId="0" xfId="0" applyBorder="1" applyFont="1"/>
    <xf borderId="1" fillId="0" fontId="7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4" fillId="13" fontId="4" numFmtId="0" xfId="0" applyAlignment="1" applyBorder="1" applyFill="1" applyFont="1">
      <alignment horizontal="right" vertical="bottom"/>
    </xf>
    <xf borderId="4" fillId="8" fontId="4" numFmtId="4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0" fillId="2" fontId="4" numFmtId="0" xfId="0" applyAlignment="1" applyFont="1">
      <alignment vertical="bottom"/>
    </xf>
    <xf borderId="0" fillId="2" fontId="2" numFmtId="0" xfId="0" applyAlignment="1" applyFont="1">
      <alignment vertical="bottom"/>
    </xf>
    <xf borderId="1" fillId="2" fontId="4" numFmtId="4" xfId="0" applyAlignment="1" applyBorder="1" applyFont="1" applyNumberFormat="1">
      <alignment horizontal="center" vertical="bottom"/>
    </xf>
    <xf borderId="0" fillId="12" fontId="9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0" fillId="12" fontId="2" numFmtId="0" xfId="0" applyAlignment="1" applyFont="1">
      <alignment horizontal="right" vertical="bottom"/>
    </xf>
    <xf borderId="0" fillId="12" fontId="2" numFmtId="0" xfId="0" applyAlignment="1" applyFont="1">
      <alignment vertical="bottom"/>
    </xf>
    <xf borderId="0" fillId="0" fontId="2" numFmtId="2" xfId="0" applyFont="1" applyNumberFormat="1"/>
    <xf borderId="1" fillId="10" fontId="12" numFmtId="0" xfId="0" applyBorder="1" applyFont="1"/>
    <xf borderId="0" fillId="0" fontId="2" numFmtId="9" xfId="0" applyAlignment="1" applyFont="1" applyNumberFormat="1">
      <alignment horizontal="right" vertical="bottom"/>
    </xf>
    <xf borderId="0" fillId="12" fontId="4" numFmtId="0" xfId="0" applyAlignment="1" applyFont="1">
      <alignment vertical="bottom"/>
    </xf>
    <xf borderId="0" fillId="0" fontId="2" numFmtId="1" xfId="0" applyFont="1" applyNumberFormat="1"/>
    <xf borderId="1" fillId="2" fontId="4" numFmtId="4" xfId="0" applyAlignment="1" applyBorder="1" applyFont="1" applyNumberFormat="1">
      <alignment horizontal="right" vertical="bottom"/>
    </xf>
    <xf borderId="1" fillId="2" fontId="4" numFmtId="1" xfId="0" applyAlignment="1" applyBorder="1" applyFont="1" applyNumberFormat="1">
      <alignment horizontal="right" vertical="bottom"/>
    </xf>
    <xf borderId="1" fillId="10" fontId="2" numFmtId="3" xfId="0" applyBorder="1" applyFont="1" applyNumberFormat="1"/>
    <xf borderId="1" fillId="10" fontId="2" numFmtId="0" xfId="0" applyBorder="1" applyFont="1"/>
    <xf borderId="1" fillId="10" fontId="2" numFmtId="1" xfId="0" applyBorder="1" applyFont="1" applyNumberFormat="1"/>
    <xf borderId="1" fillId="10" fontId="2" numFmtId="164" xfId="0" applyBorder="1" applyFont="1" applyNumberFormat="1"/>
    <xf borderId="1" fillId="14" fontId="7" numFmtId="0" xfId="0" applyAlignment="1" applyBorder="1" applyFill="1" applyFont="1">
      <alignment vertical="bottom"/>
    </xf>
    <xf borderId="2" fillId="14" fontId="11" numFmtId="0" xfId="0" applyAlignment="1" applyBorder="1" applyFont="1">
      <alignment vertical="bottom"/>
    </xf>
    <xf borderId="4" fillId="3" fontId="4" numFmtId="1" xfId="0" applyAlignment="1" applyBorder="1" applyFont="1" applyNumberFormat="1">
      <alignment horizontal="right" vertical="bottom"/>
    </xf>
    <xf borderId="4" fillId="4" fontId="4" numFmtId="1" xfId="0" applyAlignment="1" applyBorder="1" applyFont="1" applyNumberFormat="1">
      <alignment horizontal="right" vertical="bottom"/>
    </xf>
    <xf borderId="4" fillId="2" fontId="2" numFmtId="1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6" numFmtId="0" xfId="0" applyBorder="1" applyFont="1"/>
    <xf borderId="1" fillId="0" fontId="6" numFmtId="4" xfId="0" applyBorder="1" applyFont="1" applyNumberFormat="1"/>
    <xf borderId="0" fillId="12" fontId="13" numFmtId="4" xfId="0" applyAlignment="1" applyFont="1" applyNumberFormat="1">
      <alignment horizontal="right" shrinkToFit="0" wrapText="0"/>
    </xf>
    <xf borderId="0" fillId="0" fontId="7" numFmtId="0" xfId="0" applyFont="1"/>
    <xf borderId="1" fillId="15" fontId="7" numFmtId="0" xfId="0" applyAlignment="1" applyBorder="1" applyFill="1" applyFont="1">
      <alignment vertical="bottom"/>
    </xf>
    <xf borderId="1" fillId="16" fontId="7" numFmtId="0" xfId="0" applyAlignment="1" applyBorder="1" applyFill="1" applyFont="1">
      <alignment horizontal="right" vertical="bottom"/>
    </xf>
    <xf borderId="1" fillId="16" fontId="3" numFmtId="0" xfId="0" applyBorder="1" applyFont="1"/>
    <xf borderId="1" fillId="17" fontId="3" numFmtId="1" xfId="0" applyBorder="1" applyFill="1" applyFont="1" applyNumberFormat="1"/>
    <xf borderId="1" fillId="16" fontId="7" numFmtId="1" xfId="0" applyAlignment="1" applyBorder="1" applyFont="1" applyNumberFormat="1">
      <alignment horizontal="right" vertical="bottom"/>
    </xf>
    <xf borderId="1" fillId="17" fontId="2" numFmtId="1" xfId="0" applyBorder="1" applyFont="1" applyNumberFormat="1"/>
    <xf borderId="1" fillId="0" fontId="6" numFmtId="0" xfId="0" applyAlignment="1" applyBorder="1" applyFont="1">
      <alignment vertical="bottom"/>
    </xf>
    <xf borderId="1" fillId="0" fontId="6" numFmtId="4" xfId="0" applyAlignment="1" applyBorder="1" applyFont="1" applyNumberFormat="1">
      <alignment vertical="bottom"/>
    </xf>
    <xf borderId="3" fillId="0" fontId="6" numFmtId="0" xfId="0" applyAlignment="1" applyBorder="1" applyFont="1">
      <alignment vertical="bottom"/>
    </xf>
    <xf borderId="4" fillId="4" fontId="6" numFmtId="0" xfId="0" applyAlignment="1" applyBorder="1" applyFont="1">
      <alignment horizontal="right" vertical="bottom"/>
    </xf>
    <xf borderId="4" fillId="7" fontId="6" numFmtId="0" xfId="0" applyAlignment="1" applyBorder="1" applyFont="1">
      <alignment horizontal="right" vertical="bottom"/>
    </xf>
    <xf borderId="4" fillId="9" fontId="6" numFmtId="2" xfId="0" applyAlignment="1" applyBorder="1" applyFont="1" applyNumberFormat="1">
      <alignment horizontal="right" vertical="bottom"/>
    </xf>
    <xf borderId="4" fillId="18" fontId="4" numFmtId="4" xfId="0" applyAlignment="1" applyBorder="1" applyFill="1" applyFont="1" applyNumberFormat="1">
      <alignment horizontal="right" vertical="bottom"/>
    </xf>
    <xf borderId="4" fillId="19" fontId="4" numFmtId="0" xfId="0" applyAlignment="1" applyBorder="1" applyFill="1" applyFont="1">
      <alignment horizontal="right" vertical="bottom"/>
    </xf>
    <xf borderId="4" fillId="20" fontId="4" numFmtId="0" xfId="0" applyAlignment="1" applyBorder="1" applyFill="1" applyFont="1">
      <alignment horizontal="right" vertical="bottom"/>
    </xf>
    <xf borderId="4" fillId="21" fontId="4" numFmtId="0" xfId="0" applyAlignment="1" applyBorder="1" applyFill="1" applyFont="1">
      <alignment horizontal="right" vertical="bottom"/>
    </xf>
    <xf borderId="1" fillId="7" fontId="4" numFmtId="4" xfId="0" applyAlignment="1" applyBorder="1" applyFont="1" applyNumberFormat="1">
      <alignment horizontal="right" vertical="bottom"/>
    </xf>
    <xf borderId="1" fillId="0" fontId="4" numFmtId="0" xfId="0" applyBorder="1" applyFont="1"/>
    <xf borderId="1" fillId="16" fontId="7" numFmtId="164" xfId="0" applyAlignment="1" applyBorder="1" applyFont="1" applyNumberFormat="1">
      <alignment horizontal="right" vertical="bottom"/>
    </xf>
    <xf borderId="1" fillId="5" fontId="11" numFmtId="0" xfId="0" applyAlignment="1" applyBorder="1" applyFont="1">
      <alignment vertical="bottom"/>
    </xf>
    <xf borderId="1" fillId="5" fontId="7" numFmtId="3" xfId="0" applyBorder="1" applyFont="1" applyNumberFormat="1"/>
    <xf borderId="1" fillId="15" fontId="3" numFmtId="0" xfId="0" applyAlignment="1" applyBorder="1" applyFont="1">
      <alignment vertical="bottom"/>
    </xf>
    <xf borderId="1" fillId="16" fontId="2" numFmtId="0" xfId="0" applyAlignment="1" applyBorder="1" applyFont="1">
      <alignment horizontal="right" vertical="bottom"/>
    </xf>
    <xf borderId="1" fillId="22" fontId="11" numFmtId="0" xfId="0" applyBorder="1" applyFill="1" applyFont="1"/>
    <xf borderId="1" fillId="22" fontId="7" numFmtId="0" xfId="0" applyBorder="1" applyFont="1"/>
    <xf borderId="1" fillId="18" fontId="11" numFmtId="0" xfId="0" applyAlignment="1" applyBorder="1" applyFont="1">
      <alignment vertical="bottom"/>
    </xf>
    <xf borderId="1" fillId="18" fontId="7" numFmtId="1" xfId="0" applyBorder="1" applyFont="1" applyNumberFormat="1"/>
    <xf borderId="1" fillId="21" fontId="11" numFmtId="0" xfId="0" applyBorder="1" applyFont="1"/>
    <xf borderId="1" fillId="21" fontId="7" numFmtId="1" xfId="0" applyBorder="1" applyFont="1" applyNumberFormat="1"/>
    <xf borderId="1" fillId="23" fontId="11" numFmtId="0" xfId="0" applyAlignment="1" applyBorder="1" applyFill="1" applyFont="1">
      <alignment vertical="bottom"/>
    </xf>
    <xf borderId="1" fillId="23" fontId="7" numFmtId="0" xfId="0" applyBorder="1" applyFont="1"/>
    <xf borderId="1" fillId="20" fontId="11" numFmtId="0" xfId="0" applyBorder="1" applyFont="1"/>
    <xf borderId="1" fillId="20" fontId="7" numFmtId="1" xfId="0" applyBorder="1" applyFont="1" applyNumberFormat="1"/>
    <xf borderId="1" fillId="21" fontId="7" numFmtId="0" xfId="0" applyAlignment="1" applyBorder="1" applyFont="1">
      <alignment vertical="bottom"/>
    </xf>
    <xf borderId="1" fillId="21" fontId="7" numFmtId="0" xfId="0" applyAlignment="1" applyBorder="1" applyFont="1">
      <alignment horizontal="right" vertical="bottom"/>
    </xf>
    <xf borderId="1" fillId="16" fontId="11" numFmtId="0" xfId="0" applyBorder="1" applyFont="1"/>
    <xf borderId="1" fillId="16" fontId="7" numFmtId="3" xfId="0" applyBorder="1" applyFont="1" applyNumberFormat="1"/>
    <xf borderId="1" fillId="9" fontId="11" numFmtId="0" xfId="0" applyBorder="1" applyFont="1"/>
    <xf borderId="1" fillId="9" fontId="7" numFmtId="164" xfId="0" applyBorder="1" applyFont="1" applyNumberFormat="1"/>
    <xf borderId="0" fillId="12" fontId="2" numFmtId="1" xfId="0" applyAlignment="1" applyFont="1" applyNumberFormat="1">
      <alignment vertical="bottom"/>
    </xf>
    <xf borderId="0" fillId="12" fontId="2" numFmtId="1" xfId="0" applyFont="1" applyNumberFormat="1"/>
    <xf borderId="0" fillId="12" fontId="3" numFmtId="0" xfId="0" applyFont="1"/>
    <xf borderId="0" fillId="12" fontId="3" numFmtId="1" xfId="0" applyFont="1" applyNumberFormat="1"/>
    <xf borderId="1" fillId="16" fontId="3" numFmtId="0" xfId="0" applyAlignment="1" applyBorder="1" applyFont="1">
      <alignment vertical="bottom"/>
    </xf>
    <xf borderId="1" fillId="17" fontId="3" numFmtId="1" xfId="0" applyAlignment="1" applyBorder="1" applyFont="1" applyNumberFormat="1">
      <alignment horizontal="right" vertical="bottom"/>
    </xf>
    <xf borderId="0" fillId="12" fontId="3" numFmtId="2" xfId="0" applyFont="1" applyNumberFormat="1"/>
    <xf borderId="0" fillId="0" fontId="2" numFmtId="10" xfId="0" applyFont="1" applyNumberFormat="1"/>
    <xf borderId="4" fillId="9" fontId="2" numFmtId="4" xfId="0" applyAlignment="1" applyBorder="1" applyFont="1" applyNumberFormat="1">
      <alignment vertical="bottom"/>
    </xf>
    <xf borderId="4" fillId="0" fontId="2" numFmtId="4" xfId="0" applyAlignment="1" applyBorder="1" applyFont="1" applyNumberFormat="1">
      <alignment vertical="bottom"/>
    </xf>
    <xf borderId="1" fillId="0" fontId="6" numFmtId="0" xfId="0" applyAlignment="1" applyBorder="1" applyFont="1">
      <alignment horizontal="right" vertical="bottom"/>
    </xf>
    <xf borderId="4" fillId="12" fontId="2" numFmtId="4" xfId="0" applyAlignment="1" applyBorder="1" applyFont="1" applyNumberFormat="1">
      <alignment vertical="bottom"/>
    </xf>
    <xf borderId="1" fillId="0" fontId="6" numFmtId="4" xfId="0" applyAlignment="1" applyBorder="1" applyFont="1" applyNumberFormat="1">
      <alignment horizontal="right" vertical="bottom"/>
    </xf>
    <xf borderId="0" fillId="12" fontId="2" numFmtId="2" xfId="0" applyAlignment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4" fillId="18" fontId="2" numFmtId="4" xfId="0" applyAlignment="1" applyBorder="1" applyFont="1" applyNumberFormat="1">
      <alignment vertical="bottom"/>
    </xf>
    <xf borderId="0" fillId="0" fontId="2" numFmtId="2" xfId="0" applyAlignment="1" applyFont="1" applyNumberFormat="1">
      <alignment horizontal="right" vertical="bottom"/>
    </xf>
    <xf borderId="1" fillId="21" fontId="4" numFmtId="0" xfId="0" applyAlignment="1" applyBorder="1" applyFont="1">
      <alignment horizontal="right" vertical="bottom"/>
    </xf>
    <xf borderId="0" fillId="16" fontId="2" numFmtId="0" xfId="0" applyAlignment="1" applyFont="1">
      <alignment vertical="bottom"/>
    </xf>
    <xf borderId="0" fillId="12" fontId="2" numFmtId="164" xfId="0" applyAlignment="1" applyFont="1" applyNumberFormat="1">
      <alignment vertical="bottom"/>
    </xf>
    <xf borderId="1" fillId="16" fontId="2" numFmtId="0" xfId="0" applyAlignment="1" applyBorder="1" applyFont="1">
      <alignment vertical="bottom"/>
    </xf>
    <xf borderId="1" fillId="5" fontId="7" numFmtId="3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1" fillId="22" fontId="11" numFmtId="0" xfId="0" applyAlignment="1" applyBorder="1" applyFont="1">
      <alignment vertical="bottom"/>
    </xf>
    <xf borderId="1" fillId="22" fontId="7" numFmtId="1" xfId="0" applyAlignment="1" applyBorder="1" applyFont="1" applyNumberFormat="1">
      <alignment horizontal="right" vertical="bottom"/>
    </xf>
    <xf borderId="1" fillId="18" fontId="7" numFmtId="1" xfId="0" applyAlignment="1" applyBorder="1" applyFont="1" applyNumberFormat="1">
      <alignment horizontal="right" vertical="bottom"/>
    </xf>
    <xf borderId="1" fillId="21" fontId="11" numFmtId="0" xfId="0" applyAlignment="1" applyBorder="1" applyFont="1">
      <alignment vertical="bottom"/>
    </xf>
    <xf borderId="1" fillId="21" fontId="7" numFmtId="1" xfId="0" applyAlignment="1" applyBorder="1" applyFont="1" applyNumberFormat="1">
      <alignment horizontal="right" vertical="bottom"/>
    </xf>
    <xf borderId="0" fillId="0" fontId="2" numFmtId="9" xfId="0" applyAlignment="1" applyFont="1" applyNumberFormat="1">
      <alignment vertical="bottom"/>
    </xf>
    <xf borderId="1" fillId="23" fontId="7" numFmtId="0" xfId="0" applyAlignment="1" applyBorder="1" applyFont="1">
      <alignment horizontal="right" vertical="bottom"/>
    </xf>
    <xf borderId="1" fillId="20" fontId="11" numFmtId="0" xfId="0" applyAlignment="1" applyBorder="1" applyFont="1">
      <alignment vertical="bottom"/>
    </xf>
    <xf borderId="1" fillId="20" fontId="7" numFmtId="1" xfId="0" applyAlignment="1" applyBorder="1" applyFont="1" applyNumberFormat="1">
      <alignment horizontal="right" vertical="bottom"/>
    </xf>
    <xf borderId="1" fillId="16" fontId="11" numFmtId="0" xfId="0" applyAlignment="1" applyBorder="1" applyFont="1">
      <alignment vertical="bottom"/>
    </xf>
    <xf borderId="1" fillId="16" fontId="7" numFmtId="3" xfId="0" applyAlignment="1" applyBorder="1" applyFont="1" applyNumberFormat="1">
      <alignment horizontal="right" vertical="bottom"/>
    </xf>
    <xf borderId="1" fillId="9" fontId="11" numFmtId="0" xfId="0" applyAlignment="1" applyBorder="1" applyFont="1">
      <alignment vertical="bottom"/>
    </xf>
    <xf borderId="1" fillId="9" fontId="7" numFmtId="10" xfId="0" applyAlignment="1" applyBorder="1" applyFont="1" applyNumberFormat="1">
      <alignment horizontal="right" vertical="bottom"/>
    </xf>
    <xf borderId="4" fillId="24" fontId="2" numFmtId="0" xfId="0" applyAlignment="1" applyBorder="1" applyFill="1" applyFont="1">
      <alignment horizontal="right" vertical="bottom"/>
    </xf>
    <xf borderId="0" fillId="16" fontId="3" numFmtId="0" xfId="0" applyAlignment="1" applyFont="1">
      <alignment vertical="bottom"/>
    </xf>
    <xf borderId="0" fillId="16" fontId="2" numFmtId="0" xfId="0" applyAlignment="1" applyFont="1">
      <alignment horizontal="right" vertical="bottom"/>
    </xf>
    <xf borderId="4" fillId="7" fontId="6" numFmtId="164" xfId="0" applyAlignment="1" applyBorder="1" applyFont="1" applyNumberFormat="1">
      <alignment horizontal="right" vertical="bottom"/>
    </xf>
    <xf borderId="1" fillId="21" fontId="4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1" fillId="10" fontId="1" numFmtId="165" xfId="0" applyAlignment="1" applyBorder="1" applyFont="1" applyNumberFormat="1">
      <alignment horizontal="right" vertical="bottom"/>
    </xf>
    <xf borderId="1" fillId="22" fontId="1" numFmtId="0" xfId="0" applyAlignment="1" applyBorder="1" applyFont="1">
      <alignment vertical="bottom"/>
    </xf>
    <xf borderId="1" fillId="22" fontId="1" numFmtId="165" xfId="0" applyAlignment="1" applyBorder="1" applyFont="1" applyNumberFormat="1">
      <alignment horizontal="right" vertical="bottom"/>
    </xf>
    <xf borderId="1" fillId="18" fontId="1" numFmtId="0" xfId="0" applyAlignment="1" applyBorder="1" applyFont="1">
      <alignment vertical="bottom"/>
    </xf>
    <xf borderId="1" fillId="18" fontId="1" numFmtId="165" xfId="0" applyAlignment="1" applyBorder="1" applyFont="1" applyNumberFormat="1">
      <alignment horizontal="right" vertical="bottom"/>
    </xf>
    <xf borderId="1" fillId="10" fontId="1" numFmtId="9" xfId="0" applyAlignment="1" applyBorder="1" applyFont="1" applyNumberFormat="1">
      <alignment horizontal="right" vertical="bottom"/>
    </xf>
    <xf borderId="1" fillId="21" fontId="1" numFmtId="0" xfId="0" applyAlignment="1" applyBorder="1" applyFont="1">
      <alignment vertical="bottom"/>
    </xf>
    <xf borderId="1" fillId="21" fontId="1" numFmtId="165" xfId="0" applyAlignment="1" applyBorder="1" applyFont="1" applyNumberFormat="1">
      <alignment horizontal="right" vertical="bottom"/>
    </xf>
    <xf borderId="1" fillId="23" fontId="1" numFmtId="0" xfId="0" applyAlignment="1" applyBorder="1" applyFont="1">
      <alignment vertical="bottom"/>
    </xf>
    <xf borderId="1" fillId="23" fontId="1" numFmtId="165" xfId="0" applyAlignment="1" applyBorder="1" applyFont="1" applyNumberFormat="1">
      <alignment horizontal="right" vertical="bottom"/>
    </xf>
    <xf borderId="1" fillId="20" fontId="1" numFmtId="0" xfId="0" applyAlignment="1" applyBorder="1" applyFont="1">
      <alignment vertical="bottom"/>
    </xf>
    <xf borderId="1" fillId="20" fontId="1" numFmtId="165" xfId="0" applyAlignment="1" applyBorder="1" applyFont="1" applyNumberFormat="1">
      <alignment horizontal="right" vertical="bottom"/>
    </xf>
    <xf borderId="1" fillId="16" fontId="1" numFmtId="0" xfId="0" applyAlignment="1" applyBorder="1" applyFont="1">
      <alignment vertical="bottom"/>
    </xf>
    <xf borderId="1" fillId="16" fontId="1" numFmtId="165" xfId="0" applyAlignment="1" applyBorder="1" applyFont="1" applyNumberFormat="1">
      <alignment horizontal="right" vertical="bottom"/>
    </xf>
    <xf borderId="1" fillId="10" fontId="1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12.75"/>
    <col customWidth="1" min="4" max="4" width="9.63"/>
    <col customWidth="1" min="5" max="5" width="7.88"/>
    <col customWidth="1" min="6" max="6" width="8.75"/>
    <col customWidth="1" min="9" max="9" width="15.75"/>
    <col customWidth="1" min="10" max="10" width="14.38"/>
    <col customWidth="1" min="11" max="11" width="8.5"/>
    <col customWidth="1" min="12" max="12" width="7.13"/>
    <col customWidth="1" min="13" max="13" width="15.0"/>
    <col customWidth="1" min="14" max="14" width="11.38"/>
    <col customWidth="1" min="15" max="15" width="9.0"/>
    <col customWidth="1" min="16" max="16" width="10.5"/>
    <col customWidth="1" min="17" max="17" width="8.13"/>
    <col customWidth="1" min="18" max="18" width="14.0"/>
    <col customWidth="1" min="19" max="21" width="6.13"/>
    <col customWidth="1" min="22" max="22" width="12.88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4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7" t="s">
        <v>2</v>
      </c>
      <c r="B4" s="8" t="s">
        <v>3</v>
      </c>
      <c r="C4" s="8" t="s">
        <v>4</v>
      </c>
      <c r="D4" s="8" t="s">
        <v>5</v>
      </c>
      <c r="E4" s="9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9" t="s">
        <v>15</v>
      </c>
      <c r="O4" s="9" t="s">
        <v>16</v>
      </c>
      <c r="P4" s="9" t="s">
        <v>17</v>
      </c>
      <c r="Q4" s="8" t="s">
        <v>18</v>
      </c>
      <c r="R4" s="10" t="s">
        <v>19</v>
      </c>
      <c r="S4" s="9" t="s">
        <v>20</v>
      </c>
      <c r="T4" s="9" t="s">
        <v>21</v>
      </c>
      <c r="U4" s="8" t="s">
        <v>22</v>
      </c>
      <c r="V4" s="8" t="s">
        <v>23</v>
      </c>
    </row>
    <row r="5" ht="15.75" customHeight="1">
      <c r="A5" s="11" t="s">
        <v>24</v>
      </c>
      <c r="B5" s="12">
        <v>346746.0</v>
      </c>
      <c r="C5" s="13">
        <f t="shared" ref="C5:C12" si="1">G5+J5+M5</f>
        <v>344476.22</v>
      </c>
      <c r="D5" s="14">
        <f t="shared" ref="D5:D12" si="2">B5-C5</f>
        <v>2269.78</v>
      </c>
      <c r="E5" s="15">
        <f t="shared" ref="E5:E6" si="3">D5/B5*100</f>
        <v>0.6545944294</v>
      </c>
      <c r="F5" s="16">
        <f t="shared" ref="F5:F6" si="4">D5/K5</f>
        <v>7.345566343</v>
      </c>
      <c r="G5" s="12">
        <f>167779*1.18</f>
        <v>197979.22</v>
      </c>
      <c r="H5" s="12">
        <v>348.0</v>
      </c>
      <c r="I5" s="12">
        <v>344.0</v>
      </c>
      <c r="J5" s="17">
        <f>365*K5</f>
        <v>112785</v>
      </c>
      <c r="K5" s="12">
        <v>309.0</v>
      </c>
      <c r="L5" s="12">
        <f t="shared" ref="L5:L12" si="5">I5-K5</f>
        <v>35</v>
      </c>
      <c r="M5" s="12">
        <f t="shared" ref="M5:M12" si="6">I5*98</f>
        <v>33712</v>
      </c>
      <c r="N5" s="18">
        <f t="shared" ref="N5:N6" si="7">L5/I5*100</f>
        <v>10.1744186</v>
      </c>
      <c r="O5" s="19">
        <f t="shared" ref="O5:O6" si="8">I5/H5*100</f>
        <v>98.85057471</v>
      </c>
      <c r="P5" s="20">
        <f t="shared" ref="P5:P6" si="9">K5/I5*100</f>
        <v>89.8255814</v>
      </c>
      <c r="Q5" s="12">
        <v>0.0</v>
      </c>
      <c r="R5" s="12">
        <v>0.0</v>
      </c>
      <c r="S5" s="16">
        <f t="shared" ref="S5:S6" si="10">G5/H5</f>
        <v>568.9058046</v>
      </c>
      <c r="T5" s="16">
        <f t="shared" ref="T5:T6" si="11">G5/I5</f>
        <v>575.5209884</v>
      </c>
      <c r="U5" s="16">
        <f t="shared" ref="U5:U6" si="12">G5/K5</f>
        <v>640.7094498</v>
      </c>
      <c r="V5" s="16">
        <f t="shared" ref="V5:V6" si="13">100-O5</f>
        <v>1.149425287</v>
      </c>
    </row>
    <row r="6" ht="15.75" customHeight="1">
      <c r="A6" s="11" t="s">
        <v>25</v>
      </c>
      <c r="B6" s="12">
        <v>115000.0</v>
      </c>
      <c r="C6" s="13">
        <f t="shared" si="1"/>
        <v>50453.48</v>
      </c>
      <c r="D6" s="14">
        <f t="shared" si="2"/>
        <v>64546.52</v>
      </c>
      <c r="E6" s="15">
        <f t="shared" si="3"/>
        <v>56.1274087</v>
      </c>
      <c r="F6" s="16">
        <f t="shared" si="4"/>
        <v>909.1059155</v>
      </c>
      <c r="G6" s="12">
        <f>9836*1.18</f>
        <v>11606.48</v>
      </c>
      <c r="H6" s="12">
        <v>75.0</v>
      </c>
      <c r="I6" s="12">
        <v>74.0</v>
      </c>
      <c r="J6" s="17">
        <f>445*K6</f>
        <v>31595</v>
      </c>
      <c r="K6" s="12">
        <v>71.0</v>
      </c>
      <c r="L6" s="12">
        <f t="shared" si="5"/>
        <v>3</v>
      </c>
      <c r="M6" s="12">
        <f t="shared" si="6"/>
        <v>7252</v>
      </c>
      <c r="N6" s="18">
        <f t="shared" si="7"/>
        <v>4.054054054</v>
      </c>
      <c r="O6" s="19">
        <f t="shared" si="8"/>
        <v>98.66666667</v>
      </c>
      <c r="P6" s="20">
        <f t="shared" si="9"/>
        <v>95.94594595</v>
      </c>
      <c r="Q6" s="12">
        <v>0.0</v>
      </c>
      <c r="R6" s="12">
        <v>0.0</v>
      </c>
      <c r="S6" s="16">
        <f t="shared" si="10"/>
        <v>154.7530667</v>
      </c>
      <c r="T6" s="16">
        <f t="shared" si="11"/>
        <v>156.8443243</v>
      </c>
      <c r="U6" s="16">
        <f t="shared" si="12"/>
        <v>163.4715493</v>
      </c>
      <c r="V6" s="16">
        <f t="shared" si="13"/>
        <v>1.333333333</v>
      </c>
    </row>
    <row r="7" ht="15.75" customHeight="1">
      <c r="A7" s="11" t="s">
        <v>26</v>
      </c>
      <c r="B7" s="12">
        <v>0.0</v>
      </c>
      <c r="C7" s="13">
        <f t="shared" si="1"/>
        <v>0</v>
      </c>
      <c r="D7" s="14">
        <f t="shared" si="2"/>
        <v>0</v>
      </c>
      <c r="E7" s="15"/>
      <c r="F7" s="16"/>
      <c r="G7" s="12">
        <v>0.0</v>
      </c>
      <c r="H7" s="12">
        <v>0.0</v>
      </c>
      <c r="I7" s="12">
        <v>0.0</v>
      </c>
      <c r="J7" s="17">
        <f>980*K7</f>
        <v>0</v>
      </c>
      <c r="K7" s="12">
        <v>0.0</v>
      </c>
      <c r="L7" s="12">
        <f t="shared" si="5"/>
        <v>0</v>
      </c>
      <c r="M7" s="12">
        <f t="shared" si="6"/>
        <v>0</v>
      </c>
      <c r="N7" s="18"/>
      <c r="O7" s="19"/>
      <c r="P7" s="20"/>
      <c r="Q7" s="12">
        <v>0.0</v>
      </c>
      <c r="R7" s="12">
        <v>0.0</v>
      </c>
      <c r="S7" s="16"/>
      <c r="T7" s="16"/>
      <c r="U7" s="16"/>
      <c r="V7" s="16"/>
    </row>
    <row r="8" ht="15.75" customHeight="1">
      <c r="A8" s="11" t="s">
        <v>27</v>
      </c>
      <c r="B8" s="12">
        <v>64085.0</v>
      </c>
      <c r="C8" s="13">
        <f t="shared" si="1"/>
        <v>51469.26</v>
      </c>
      <c r="D8" s="14">
        <f t="shared" si="2"/>
        <v>12615.74</v>
      </c>
      <c r="E8" s="15">
        <f t="shared" ref="E8:E11" si="14">D8/B8*100</f>
        <v>19.68594835</v>
      </c>
      <c r="F8" s="16">
        <f t="shared" ref="F8:F11" si="15">D8/K8</f>
        <v>112.6405357</v>
      </c>
      <c r="G8" s="12">
        <f>8357*1.18</f>
        <v>9861.26</v>
      </c>
      <c r="H8" s="12">
        <v>119.0</v>
      </c>
      <c r="I8" s="12">
        <v>116.0</v>
      </c>
      <c r="J8" s="17">
        <f> 270*K8</f>
        <v>30240</v>
      </c>
      <c r="K8" s="12">
        <v>112.0</v>
      </c>
      <c r="L8" s="12">
        <f t="shared" si="5"/>
        <v>4</v>
      </c>
      <c r="M8" s="12">
        <f t="shared" si="6"/>
        <v>11368</v>
      </c>
      <c r="N8" s="18">
        <f t="shared" ref="N8:N11" si="16">L8/I8*100</f>
        <v>3.448275862</v>
      </c>
      <c r="O8" s="19">
        <f t="shared" ref="O8:O11" si="17">I8/H8*100</f>
        <v>97.4789916</v>
      </c>
      <c r="P8" s="20">
        <f t="shared" ref="P8:P11" si="18">K8/I8*100</f>
        <v>96.55172414</v>
      </c>
      <c r="Q8" s="12">
        <v>0.0</v>
      </c>
      <c r="R8" s="12">
        <v>0.0</v>
      </c>
      <c r="S8" s="16">
        <f t="shared" ref="S8:S11" si="19">G8/H8</f>
        <v>82.86773109</v>
      </c>
      <c r="T8" s="16">
        <f t="shared" ref="T8:T11" si="20">G8/I8</f>
        <v>85.01086207</v>
      </c>
      <c r="U8" s="16">
        <f t="shared" ref="U8:U11" si="21">G8/K8</f>
        <v>88.04696429</v>
      </c>
      <c r="V8" s="16">
        <f t="shared" ref="V8:V11" si="22">100-O8</f>
        <v>2.521008403</v>
      </c>
    </row>
    <row r="9" ht="15.75" customHeight="1">
      <c r="A9" s="11" t="s">
        <v>28</v>
      </c>
      <c r="B9" s="12">
        <v>22862.0</v>
      </c>
      <c r="C9" s="13">
        <f t="shared" si="1"/>
        <v>8721</v>
      </c>
      <c r="D9" s="14">
        <f t="shared" si="2"/>
        <v>14141</v>
      </c>
      <c r="E9" s="15">
        <f t="shared" si="14"/>
        <v>61.85373108</v>
      </c>
      <c r="F9" s="16">
        <f t="shared" si="15"/>
        <v>831.8235294</v>
      </c>
      <c r="G9" s="12">
        <v>0.0</v>
      </c>
      <c r="H9" s="12">
        <v>17.0</v>
      </c>
      <c r="I9" s="12">
        <v>17.0</v>
      </c>
      <c r="J9" s="17">
        <f> 415*K9</f>
        <v>7055</v>
      </c>
      <c r="K9" s="12">
        <v>17.0</v>
      </c>
      <c r="L9" s="12">
        <f t="shared" si="5"/>
        <v>0</v>
      </c>
      <c r="M9" s="12">
        <f t="shared" si="6"/>
        <v>1666</v>
      </c>
      <c r="N9" s="18">
        <f t="shared" si="16"/>
        <v>0</v>
      </c>
      <c r="O9" s="19">
        <f t="shared" si="17"/>
        <v>100</v>
      </c>
      <c r="P9" s="20">
        <f t="shared" si="18"/>
        <v>100</v>
      </c>
      <c r="Q9" s="12">
        <v>0.0</v>
      </c>
      <c r="R9" s="12">
        <v>0.0</v>
      </c>
      <c r="S9" s="16">
        <f t="shared" si="19"/>
        <v>0</v>
      </c>
      <c r="T9" s="16">
        <f t="shared" si="20"/>
        <v>0</v>
      </c>
      <c r="U9" s="16">
        <f t="shared" si="21"/>
        <v>0</v>
      </c>
      <c r="V9" s="16">
        <f t="shared" si="22"/>
        <v>0</v>
      </c>
    </row>
    <row r="10" ht="15.75" customHeight="1">
      <c r="A10" s="11" t="s">
        <v>29</v>
      </c>
      <c r="B10" s="12">
        <v>55735.0</v>
      </c>
      <c r="C10" s="13">
        <f t="shared" si="1"/>
        <v>33893.56</v>
      </c>
      <c r="D10" s="14">
        <f t="shared" si="2"/>
        <v>21841.44</v>
      </c>
      <c r="E10" s="15">
        <f t="shared" si="14"/>
        <v>39.18801471</v>
      </c>
      <c r="F10" s="16">
        <f t="shared" si="15"/>
        <v>606.7066667</v>
      </c>
      <c r="G10" s="12">
        <f>13142*1.18</f>
        <v>15507.56</v>
      </c>
      <c r="H10" s="12">
        <v>37.0</v>
      </c>
      <c r="I10" s="12">
        <v>37.0</v>
      </c>
      <c r="J10" s="17">
        <f>410*K10</f>
        <v>14760</v>
      </c>
      <c r="K10" s="12">
        <v>36.0</v>
      </c>
      <c r="L10" s="12">
        <f t="shared" si="5"/>
        <v>1</v>
      </c>
      <c r="M10" s="12">
        <f t="shared" si="6"/>
        <v>3626</v>
      </c>
      <c r="N10" s="18">
        <f t="shared" si="16"/>
        <v>2.702702703</v>
      </c>
      <c r="O10" s="19">
        <f t="shared" si="17"/>
        <v>100</v>
      </c>
      <c r="P10" s="20">
        <f t="shared" si="18"/>
        <v>97.2972973</v>
      </c>
      <c r="Q10" s="12">
        <v>0.0</v>
      </c>
      <c r="R10" s="12">
        <v>0.0</v>
      </c>
      <c r="S10" s="16">
        <f t="shared" si="19"/>
        <v>419.1232432</v>
      </c>
      <c r="T10" s="16">
        <f t="shared" si="20"/>
        <v>419.1232432</v>
      </c>
      <c r="U10" s="16">
        <f t="shared" si="21"/>
        <v>430.7655556</v>
      </c>
      <c r="V10" s="16">
        <f t="shared" si="22"/>
        <v>0</v>
      </c>
    </row>
    <row r="11" ht="15.75" customHeight="1">
      <c r="A11" s="11" t="s">
        <v>30</v>
      </c>
      <c r="B11" s="12">
        <v>300686.0</v>
      </c>
      <c r="C11" s="13">
        <f t="shared" si="1"/>
        <v>262028.36</v>
      </c>
      <c r="D11" s="14">
        <f t="shared" si="2"/>
        <v>38657.64</v>
      </c>
      <c r="E11" s="15">
        <f t="shared" si="14"/>
        <v>12.85648151</v>
      </c>
      <c r="F11" s="16">
        <f t="shared" si="15"/>
        <v>237.1634356</v>
      </c>
      <c r="G11" s="12">
        <f>130002*1.18</f>
        <v>153402.36</v>
      </c>
      <c r="H11" s="12">
        <v>179.0</v>
      </c>
      <c r="I11" s="12">
        <v>177.0</v>
      </c>
      <c r="J11" s="17">
        <f>560*K11</f>
        <v>91280</v>
      </c>
      <c r="K11" s="12">
        <v>163.0</v>
      </c>
      <c r="L11" s="12">
        <f t="shared" si="5"/>
        <v>14</v>
      </c>
      <c r="M11" s="12">
        <f t="shared" si="6"/>
        <v>17346</v>
      </c>
      <c r="N11" s="18">
        <f t="shared" si="16"/>
        <v>7.90960452</v>
      </c>
      <c r="O11" s="19">
        <f t="shared" si="17"/>
        <v>98.88268156</v>
      </c>
      <c r="P11" s="20">
        <f t="shared" si="18"/>
        <v>92.09039548</v>
      </c>
      <c r="Q11" s="12">
        <v>0.0</v>
      </c>
      <c r="R11" s="12">
        <v>0.0</v>
      </c>
      <c r="S11" s="16">
        <f t="shared" si="19"/>
        <v>856.9964246</v>
      </c>
      <c r="T11" s="16">
        <f t="shared" si="20"/>
        <v>866.68</v>
      </c>
      <c r="U11" s="16">
        <f t="shared" si="21"/>
        <v>941.118773</v>
      </c>
      <c r="V11" s="16">
        <f t="shared" si="22"/>
        <v>1.117318436</v>
      </c>
    </row>
    <row r="12" ht="15.75" customHeight="1">
      <c r="A12" s="11" t="s">
        <v>31</v>
      </c>
      <c r="B12" s="12">
        <v>0.0</v>
      </c>
      <c r="C12" s="13">
        <f t="shared" si="1"/>
        <v>0</v>
      </c>
      <c r="D12" s="14">
        <f t="shared" si="2"/>
        <v>0</v>
      </c>
      <c r="E12" s="15"/>
      <c r="F12" s="16"/>
      <c r="G12" s="12">
        <v>0.0</v>
      </c>
      <c r="H12" s="12">
        <v>0.0</v>
      </c>
      <c r="I12" s="12">
        <v>0.0</v>
      </c>
      <c r="J12" s="17">
        <f>800*K12</f>
        <v>0</v>
      </c>
      <c r="K12" s="12">
        <v>0.0</v>
      </c>
      <c r="L12" s="12">
        <f t="shared" si="5"/>
        <v>0</v>
      </c>
      <c r="M12" s="12">
        <f t="shared" si="6"/>
        <v>0</v>
      </c>
      <c r="N12" s="18"/>
      <c r="O12" s="19"/>
      <c r="P12" s="20"/>
      <c r="Q12" s="12">
        <v>0.0</v>
      </c>
      <c r="R12" s="12">
        <v>0.0</v>
      </c>
      <c r="S12" s="16"/>
      <c r="T12" s="16"/>
      <c r="U12" s="16"/>
      <c r="V12" s="16"/>
    </row>
    <row r="13" ht="15.75" customHeight="1">
      <c r="K13" s="21">
        <f>SUM(K5:K12)</f>
        <v>708</v>
      </c>
      <c r="U13" s="22">
        <f t="shared" ref="U13:V13" si="23">AVERAGE(U5:U12)</f>
        <v>377.3520487</v>
      </c>
      <c r="V13" s="22">
        <f t="shared" si="23"/>
        <v>1.02018091</v>
      </c>
    </row>
    <row r="14" ht="15.75" customHeight="1">
      <c r="A14" s="23" t="s">
        <v>32</v>
      </c>
      <c r="B14" s="24">
        <f>SUM(B4:B11)</f>
        <v>905114</v>
      </c>
      <c r="D14" s="25" t="s">
        <v>33</v>
      </c>
      <c r="E14" s="25">
        <v>1170.0</v>
      </c>
      <c r="F14" s="21"/>
    </row>
    <row r="15" ht="15.75" customHeight="1">
      <c r="A15" s="23" t="s">
        <v>34</v>
      </c>
      <c r="B15" s="24">
        <f>SUM(C4:C11)</f>
        <v>751041.88</v>
      </c>
      <c r="D15" s="25" t="s">
        <v>35</v>
      </c>
      <c r="E15" s="25">
        <v>380.0</v>
      </c>
    </row>
    <row r="16" ht="15.75" customHeight="1">
      <c r="A16" s="23" t="s">
        <v>36</v>
      </c>
      <c r="B16" s="24">
        <f>SUM(D4:D11)</f>
        <v>154072.12</v>
      </c>
      <c r="D16" s="25" t="s">
        <v>37</v>
      </c>
      <c r="E16" s="25">
        <v>2.3</v>
      </c>
    </row>
    <row r="17" ht="15.75" customHeight="1">
      <c r="A17" s="23" t="s">
        <v>38</v>
      </c>
      <c r="B17" s="26">
        <f>AVERAGE(E5:E11)</f>
        <v>31.72769646</v>
      </c>
    </row>
    <row r="18" ht="15.75" customHeight="1"/>
    <row r="19" ht="15.75" customHeight="1"/>
    <row r="20" ht="15.75" customHeight="1">
      <c r="A20" s="27" t="s">
        <v>39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ht="15.75" customHeight="1">
      <c r="A21" s="7" t="s">
        <v>2</v>
      </c>
      <c r="B21" s="29" t="s">
        <v>3</v>
      </c>
      <c r="C21" s="29" t="s">
        <v>4</v>
      </c>
      <c r="D21" s="29" t="s">
        <v>5</v>
      </c>
      <c r="E21" s="30" t="s">
        <v>6</v>
      </c>
      <c r="F21" s="29" t="s">
        <v>7</v>
      </c>
      <c r="G21" s="29" t="s">
        <v>9</v>
      </c>
      <c r="H21" s="29" t="s">
        <v>11</v>
      </c>
      <c r="I21" s="29" t="s">
        <v>12</v>
      </c>
      <c r="J21" s="29" t="s">
        <v>40</v>
      </c>
      <c r="K21" s="29" t="s">
        <v>13</v>
      </c>
      <c r="L21" s="30" t="s">
        <v>15</v>
      </c>
      <c r="M21" s="30" t="s">
        <v>17</v>
      </c>
      <c r="N21" s="30" t="s">
        <v>20</v>
      </c>
      <c r="O21" s="30" t="s">
        <v>21</v>
      </c>
      <c r="P21" s="29" t="s">
        <v>22</v>
      </c>
      <c r="Q21" s="29" t="s">
        <v>23</v>
      </c>
      <c r="R21" s="28"/>
      <c r="S21" s="28"/>
      <c r="T21" s="28"/>
    </row>
    <row r="22" ht="15.75" customHeight="1">
      <c r="A22" s="7" t="s">
        <v>24</v>
      </c>
      <c r="B22" s="31">
        <f>641709+2798</f>
        <v>644507</v>
      </c>
      <c r="C22" s="32">
        <f t="shared" ref="C22:C29" si="24">H22+J22</f>
        <v>330779.49</v>
      </c>
      <c r="D22" s="33">
        <f t="shared" ref="D22:D29" si="25">B22-C22</f>
        <v>313727.51</v>
      </c>
      <c r="E22" s="34">
        <f t="shared" ref="E22:E28" si="26">D22/B22*100</f>
        <v>48.67712996</v>
      </c>
      <c r="F22" s="35">
        <f t="shared" ref="F22:F28" si="27">D22/I22</f>
        <v>587.5047004</v>
      </c>
      <c r="G22" s="31">
        <v>576.0</v>
      </c>
      <c r="H22" s="36">
        <f>370*I22</f>
        <v>197580</v>
      </c>
      <c r="I22" s="31">
        <v>534.0</v>
      </c>
      <c r="J22" s="37">
        <f>132766.21+433.28</f>
        <v>133199.49</v>
      </c>
      <c r="K22" s="38">
        <v>42.0</v>
      </c>
      <c r="L22" s="39">
        <f t="shared" ref="L22:L29" si="28">K22/G22*100</f>
        <v>7.291666667</v>
      </c>
      <c r="M22" s="40">
        <f t="shared" ref="M22:M29" si="29">I22/G22*100</f>
        <v>92.70833333</v>
      </c>
      <c r="N22" s="35" t="str">
        <f t="shared" ref="N22:N29" si="30">#REF!/G22</f>
        <v>#REF!</v>
      </c>
      <c r="O22" s="35" t="str">
        <f t="shared" ref="O22:O29" si="31">#REF!/#REF!</f>
        <v>#REF!</v>
      </c>
      <c r="P22" s="35" t="str">
        <f t="shared" ref="P22:P29" si="32">#REF!/I22</f>
        <v>#REF!</v>
      </c>
      <c r="Q22" s="35" t="str">
        <f t="shared" ref="Q22:Q29" si="33">100-#REF!</f>
        <v>#REF!</v>
      </c>
      <c r="R22" s="28"/>
      <c r="S22" s="28"/>
      <c r="T22" s="28"/>
    </row>
    <row r="23" ht="15.75" customHeight="1">
      <c r="A23" s="7" t="s">
        <v>25</v>
      </c>
      <c r="B23" s="31">
        <f>172522+32154.5</f>
        <v>204676.5</v>
      </c>
      <c r="C23" s="32">
        <f t="shared" si="24"/>
        <v>90585.05</v>
      </c>
      <c r="D23" s="33">
        <f t="shared" si="25"/>
        <v>114091.45</v>
      </c>
      <c r="E23" s="34">
        <f t="shared" si="26"/>
        <v>55.74232997</v>
      </c>
      <c r="F23" s="35">
        <f t="shared" si="27"/>
        <v>820.8017986</v>
      </c>
      <c r="G23" s="31">
        <f>23+134</f>
        <v>157</v>
      </c>
      <c r="H23" s="36">
        <f>300*I23</f>
        <v>41700</v>
      </c>
      <c r="I23" s="31">
        <f>119+20</f>
        <v>139</v>
      </c>
      <c r="J23" s="37">
        <f>42036.68+6848.37</f>
        <v>48885.05</v>
      </c>
      <c r="K23" s="38">
        <v>18.0</v>
      </c>
      <c r="L23" s="39">
        <f t="shared" si="28"/>
        <v>11.46496815</v>
      </c>
      <c r="M23" s="40">
        <f t="shared" si="29"/>
        <v>88.53503185</v>
      </c>
      <c r="N23" s="35" t="str">
        <f t="shared" si="30"/>
        <v>#REF!</v>
      </c>
      <c r="O23" s="35" t="str">
        <f t="shared" si="31"/>
        <v>#REF!</v>
      </c>
      <c r="P23" s="35" t="str">
        <f t="shared" si="32"/>
        <v>#REF!</v>
      </c>
      <c r="Q23" s="35" t="str">
        <f t="shared" si="33"/>
        <v>#REF!</v>
      </c>
      <c r="R23" s="28"/>
      <c r="S23" s="28"/>
      <c r="T23" s="28"/>
    </row>
    <row r="24" ht="15.75" customHeight="1">
      <c r="A24" s="7" t="s">
        <v>26</v>
      </c>
      <c r="B24" s="31">
        <f>18990</f>
        <v>18990</v>
      </c>
      <c r="C24" s="41">
        <f t="shared" si="24"/>
        <v>14583.16</v>
      </c>
      <c r="D24" s="42">
        <f t="shared" si="25"/>
        <v>4406.84</v>
      </c>
      <c r="E24" s="34">
        <f t="shared" si="26"/>
        <v>23.20610848</v>
      </c>
      <c r="F24" s="35">
        <f t="shared" si="27"/>
        <v>440.684</v>
      </c>
      <c r="G24" s="31">
        <v>10.0</v>
      </c>
      <c r="H24" s="36">
        <f>980*I24</f>
        <v>9800</v>
      </c>
      <c r="I24" s="31">
        <v>10.0</v>
      </c>
      <c r="J24" s="39">
        <v>4783.16</v>
      </c>
      <c r="K24" s="38">
        <v>0.0</v>
      </c>
      <c r="L24" s="39">
        <f t="shared" si="28"/>
        <v>0</v>
      </c>
      <c r="M24" s="40">
        <f t="shared" si="29"/>
        <v>100</v>
      </c>
      <c r="N24" s="35" t="str">
        <f t="shared" si="30"/>
        <v>#REF!</v>
      </c>
      <c r="O24" s="35" t="str">
        <f t="shared" si="31"/>
        <v>#REF!</v>
      </c>
      <c r="P24" s="35" t="str">
        <f t="shared" si="32"/>
        <v>#REF!</v>
      </c>
      <c r="Q24" s="35" t="str">
        <f t="shared" si="33"/>
        <v>#REF!</v>
      </c>
      <c r="R24" s="28"/>
      <c r="S24" s="28"/>
      <c r="T24" s="28"/>
    </row>
    <row r="25" ht="15.75" customHeight="1">
      <c r="A25" s="7" t="s">
        <v>27</v>
      </c>
      <c r="B25" s="31">
        <f>5580.16+232318</f>
        <v>237898.16</v>
      </c>
      <c r="C25" s="32">
        <f t="shared" si="24"/>
        <v>162506.85</v>
      </c>
      <c r="D25" s="33">
        <f t="shared" si="25"/>
        <v>75391.31</v>
      </c>
      <c r="E25" s="34">
        <f t="shared" si="26"/>
        <v>31.69058138</v>
      </c>
      <c r="F25" s="35">
        <f t="shared" si="27"/>
        <v>213.5731161</v>
      </c>
      <c r="G25" s="31">
        <f>382+7</f>
        <v>389</v>
      </c>
      <c r="H25" s="36">
        <f> 280*I25</f>
        <v>98840</v>
      </c>
      <c r="I25" s="31">
        <f>351+2</f>
        <v>353</v>
      </c>
      <c r="J25" s="37">
        <f>1358.89 +62307.96</f>
        <v>63666.85</v>
      </c>
      <c r="K25" s="38">
        <v>36.0</v>
      </c>
      <c r="L25" s="39">
        <f t="shared" si="28"/>
        <v>9.254498715</v>
      </c>
      <c r="M25" s="40">
        <f t="shared" si="29"/>
        <v>90.74550129</v>
      </c>
      <c r="N25" s="35" t="str">
        <f t="shared" si="30"/>
        <v>#REF!</v>
      </c>
      <c r="O25" s="35" t="str">
        <f t="shared" si="31"/>
        <v>#REF!</v>
      </c>
      <c r="P25" s="35" t="str">
        <f t="shared" si="32"/>
        <v>#REF!</v>
      </c>
      <c r="Q25" s="35" t="str">
        <f t="shared" si="33"/>
        <v>#REF!</v>
      </c>
      <c r="R25" s="28"/>
      <c r="S25" s="28"/>
      <c r="T25" s="28"/>
    </row>
    <row r="26" ht="15.75" customHeight="1">
      <c r="A26" s="7" t="s">
        <v>28</v>
      </c>
      <c r="B26" s="31">
        <f>6980.02</f>
        <v>6980.02</v>
      </c>
      <c r="C26" s="32">
        <f t="shared" si="24"/>
        <v>4387.11</v>
      </c>
      <c r="D26" s="33">
        <f t="shared" si="25"/>
        <v>2592.91</v>
      </c>
      <c r="E26" s="34">
        <f t="shared" si="26"/>
        <v>37.1476013</v>
      </c>
      <c r="F26" s="35">
        <f t="shared" si="27"/>
        <v>432.1516667</v>
      </c>
      <c r="G26" s="31">
        <v>6.0</v>
      </c>
      <c r="H26" s="36">
        <f> 420*I26</f>
        <v>2520</v>
      </c>
      <c r="I26" s="31">
        <v>6.0</v>
      </c>
      <c r="J26" s="37">
        <f>1867.11 </f>
        <v>1867.11</v>
      </c>
      <c r="K26" s="38">
        <v>0.0</v>
      </c>
      <c r="L26" s="39">
        <f t="shared" si="28"/>
        <v>0</v>
      </c>
      <c r="M26" s="40">
        <f t="shared" si="29"/>
        <v>100</v>
      </c>
      <c r="N26" s="35" t="str">
        <f t="shared" si="30"/>
        <v>#REF!</v>
      </c>
      <c r="O26" s="35" t="str">
        <f t="shared" si="31"/>
        <v>#REF!</v>
      </c>
      <c r="P26" s="35" t="str">
        <f t="shared" si="32"/>
        <v>#REF!</v>
      </c>
      <c r="Q26" s="35" t="str">
        <f t="shared" si="33"/>
        <v>#REF!</v>
      </c>
      <c r="R26" s="28"/>
      <c r="S26" s="28"/>
      <c r="T26" s="28"/>
    </row>
    <row r="27" ht="15.75" customHeight="1">
      <c r="A27" s="7" t="s">
        <v>29</v>
      </c>
      <c r="B27" s="31">
        <f>62658+43121.59</f>
        <v>105779.59</v>
      </c>
      <c r="C27" s="32">
        <f t="shared" si="24"/>
        <v>58009.52</v>
      </c>
      <c r="D27" s="33">
        <f t="shared" si="25"/>
        <v>47770.07</v>
      </c>
      <c r="E27" s="34">
        <f t="shared" si="26"/>
        <v>45.16000677</v>
      </c>
      <c r="F27" s="35">
        <f t="shared" si="27"/>
        <v>734.9241538</v>
      </c>
      <c r="G27" s="31">
        <f>45+28</f>
        <v>73</v>
      </c>
      <c r="H27" s="36">
        <f>410*I27</f>
        <v>26650</v>
      </c>
      <c r="I27" s="31">
        <f>24+41</f>
        <v>65</v>
      </c>
      <c r="J27" s="37">
        <f>13554.75 +17804.77
</f>
        <v>31359.52</v>
      </c>
      <c r="K27" s="38">
        <v>8.0</v>
      </c>
      <c r="L27" s="39">
        <f t="shared" si="28"/>
        <v>10.95890411</v>
      </c>
      <c r="M27" s="40">
        <f t="shared" si="29"/>
        <v>89.04109589</v>
      </c>
      <c r="N27" s="35" t="str">
        <f t="shared" si="30"/>
        <v>#REF!</v>
      </c>
      <c r="O27" s="35" t="str">
        <f t="shared" si="31"/>
        <v>#REF!</v>
      </c>
      <c r="P27" s="35" t="str">
        <f t="shared" si="32"/>
        <v>#REF!</v>
      </c>
      <c r="Q27" s="35" t="str">
        <f t="shared" si="33"/>
        <v>#REF!</v>
      </c>
      <c r="R27" s="28"/>
      <c r="S27" s="28"/>
      <c r="T27" s="28"/>
    </row>
    <row r="28" ht="15.75" customHeight="1">
      <c r="A28" s="7" t="s">
        <v>30</v>
      </c>
      <c r="B28" s="31">
        <f>17976.01</f>
        <v>17976.01</v>
      </c>
      <c r="C28" s="32">
        <f t="shared" si="24"/>
        <v>8963.72</v>
      </c>
      <c r="D28" s="33">
        <f t="shared" si="25"/>
        <v>9012.29</v>
      </c>
      <c r="E28" s="34">
        <f t="shared" si="26"/>
        <v>50.13509672</v>
      </c>
      <c r="F28" s="35">
        <f t="shared" si="27"/>
        <v>1001.365556</v>
      </c>
      <c r="G28" s="31">
        <v>9.0</v>
      </c>
      <c r="H28" s="36">
        <f>530*I28</f>
        <v>4770</v>
      </c>
      <c r="I28" s="31">
        <v>9.0</v>
      </c>
      <c r="J28" s="37">
        <f>4193.72</f>
        <v>4193.72</v>
      </c>
      <c r="K28" s="38">
        <v>0.0</v>
      </c>
      <c r="L28" s="39">
        <f t="shared" si="28"/>
        <v>0</v>
      </c>
      <c r="M28" s="40">
        <f t="shared" si="29"/>
        <v>100</v>
      </c>
      <c r="N28" s="35" t="str">
        <f t="shared" si="30"/>
        <v>#REF!</v>
      </c>
      <c r="O28" s="35" t="str">
        <f t="shared" si="31"/>
        <v>#REF!</v>
      </c>
      <c r="P28" s="35" t="str">
        <f t="shared" si="32"/>
        <v>#REF!</v>
      </c>
      <c r="Q28" s="35" t="str">
        <f t="shared" si="33"/>
        <v>#REF!</v>
      </c>
      <c r="R28" s="28"/>
      <c r="S28" s="28"/>
      <c r="T28" s="28"/>
    </row>
    <row r="29" ht="15.75" customHeight="1">
      <c r="A29" s="7" t="s">
        <v>31</v>
      </c>
      <c r="B29" s="31">
        <v>0.0</v>
      </c>
      <c r="C29" s="32">
        <f t="shared" si="24"/>
        <v>0</v>
      </c>
      <c r="D29" s="33">
        <f t="shared" si="25"/>
        <v>0</v>
      </c>
      <c r="E29" s="43">
        <v>0.0</v>
      </c>
      <c r="F29" s="44">
        <v>0.0</v>
      </c>
      <c r="G29" s="31">
        <v>0.0</v>
      </c>
      <c r="H29" s="36">
        <f>800*I29</f>
        <v>0</v>
      </c>
      <c r="I29" s="31">
        <v>0.0</v>
      </c>
      <c r="J29" s="37">
        <v>0.0</v>
      </c>
      <c r="K29" s="38">
        <v>0.0</v>
      </c>
      <c r="L29" s="39" t="str">
        <f t="shared" si="28"/>
        <v>#DIV/0!</v>
      </c>
      <c r="M29" s="40" t="str">
        <f t="shared" si="29"/>
        <v>#DIV/0!</v>
      </c>
      <c r="N29" s="35" t="str">
        <f t="shared" si="30"/>
        <v>#REF!</v>
      </c>
      <c r="O29" s="35" t="str">
        <f t="shared" si="31"/>
        <v>#REF!</v>
      </c>
      <c r="P29" s="35" t="str">
        <f t="shared" si="32"/>
        <v>#REF!</v>
      </c>
      <c r="Q29" s="35" t="str">
        <f t="shared" si="33"/>
        <v>#REF!</v>
      </c>
      <c r="R29" s="28"/>
      <c r="S29" s="28"/>
      <c r="T29" s="28"/>
    </row>
    <row r="30" ht="15.75" customHeight="1">
      <c r="I30" s="21">
        <f>SUM(I21:I29)</f>
        <v>1116</v>
      </c>
    </row>
    <row r="31" ht="15.75" customHeight="1"/>
    <row r="32" ht="15.75" customHeight="1">
      <c r="A32" s="23" t="s">
        <v>32</v>
      </c>
      <c r="B32" s="24">
        <f>SUM(B22:B29)</f>
        <v>1236807.28</v>
      </c>
      <c r="D32" s="25" t="s">
        <v>33</v>
      </c>
      <c r="E32" s="25">
        <f>B32/SUM(I22:I29)</f>
        <v>1108.250251</v>
      </c>
    </row>
    <row r="33" ht="15.75" customHeight="1">
      <c r="A33" s="23" t="s">
        <v>34</v>
      </c>
      <c r="B33" s="24">
        <f>SUM(C22:C29)</f>
        <v>669814.9</v>
      </c>
      <c r="D33" s="25"/>
      <c r="E33" s="25"/>
    </row>
    <row r="34" ht="15.75" customHeight="1">
      <c r="A34" s="23" t="s">
        <v>36</v>
      </c>
      <c r="B34" s="24">
        <f>SUM(D22:D29)</f>
        <v>566992.38</v>
      </c>
      <c r="D34" s="25"/>
      <c r="E34" s="25"/>
    </row>
    <row r="35" ht="15.75" customHeight="1">
      <c r="A35" s="23" t="s">
        <v>38</v>
      </c>
      <c r="B35" s="26">
        <f>AVERAGE(E23:E29)</f>
        <v>34.72596066</v>
      </c>
    </row>
    <row r="36" ht="15.75" customHeight="1"/>
    <row r="37" ht="15.75" customHeight="1"/>
    <row r="38" ht="15.75" customHeight="1"/>
    <row r="39" ht="15.75" customHeight="1">
      <c r="A39" s="3"/>
      <c r="B39" s="45"/>
    </row>
    <row r="40" ht="15.75" customHeight="1">
      <c r="A40" s="3"/>
      <c r="B40" s="45"/>
    </row>
    <row r="41" ht="15.75" customHeight="1">
      <c r="A41" s="3"/>
      <c r="B41" s="45"/>
    </row>
    <row r="42" ht="15.75" customHeight="1">
      <c r="A42" s="3"/>
      <c r="B42" s="45"/>
    </row>
    <row r="43" ht="15.75" customHeight="1">
      <c r="A43" s="3"/>
      <c r="B43" s="45"/>
    </row>
    <row r="44" ht="15.75" customHeight="1">
      <c r="A44" s="46"/>
      <c r="B44" s="47"/>
    </row>
    <row r="45" ht="15.75" customHeight="1"/>
    <row r="46" ht="15.75" customHeight="1"/>
    <row r="47" ht="15.75" customHeight="1">
      <c r="A47" s="48"/>
      <c r="B47" s="49"/>
    </row>
    <row r="48" ht="15.75" customHeight="1">
      <c r="A48" s="50"/>
      <c r="B48" s="49"/>
    </row>
    <row r="49" ht="15.75" customHeight="1">
      <c r="A49" s="48"/>
      <c r="B49" s="49"/>
    </row>
    <row r="50" ht="15.75" customHeight="1">
      <c r="A50" s="48"/>
      <c r="B50" s="49"/>
    </row>
    <row r="51" ht="15.75" customHeight="1">
      <c r="A51" s="48"/>
      <c r="B51" s="4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4" max="4" width="10.75"/>
    <col customWidth="1" min="5" max="5" width="7.25"/>
    <col customWidth="1" min="6" max="6" width="7.5"/>
    <col customWidth="1" min="7" max="7" width="10.5"/>
    <col customWidth="1" min="8" max="10" width="14.38"/>
    <col customWidth="1" min="11" max="12" width="14.63"/>
    <col customWidth="1" min="13" max="13" width="15.0"/>
    <col customWidth="1" min="14" max="14" width="10.5"/>
    <col customWidth="1" min="15" max="15" width="9.0"/>
    <col customWidth="1" min="16" max="16" width="10.5"/>
    <col customWidth="1" min="17" max="17" width="8.13"/>
    <col customWidth="1" min="18" max="18" width="8.88"/>
    <col customWidth="1" min="19" max="21" width="6.5"/>
    <col customWidth="1" min="22" max="22" width="12.88"/>
  </cols>
  <sheetData>
    <row r="1" ht="15.75" customHeight="1">
      <c r="A1" s="1" t="s">
        <v>41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4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7" t="s">
        <v>2</v>
      </c>
      <c r="B4" s="8" t="s">
        <v>3</v>
      </c>
      <c r="C4" s="8" t="s">
        <v>4</v>
      </c>
      <c r="D4" s="8" t="s">
        <v>5</v>
      </c>
      <c r="E4" s="9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9" t="s">
        <v>15</v>
      </c>
      <c r="O4" s="9" t="s">
        <v>16</v>
      </c>
      <c r="P4" s="9" t="s">
        <v>17</v>
      </c>
      <c r="Q4" s="8" t="s">
        <v>18</v>
      </c>
      <c r="R4" s="10" t="s">
        <v>19</v>
      </c>
      <c r="S4" s="9" t="s">
        <v>20</v>
      </c>
      <c r="T4" s="9" t="s">
        <v>21</v>
      </c>
      <c r="U4" s="8" t="s">
        <v>22</v>
      </c>
      <c r="V4" s="8" t="s">
        <v>23</v>
      </c>
    </row>
    <row r="5" ht="15.75" customHeight="1">
      <c r="A5" s="11" t="s">
        <v>24</v>
      </c>
      <c r="B5" s="12">
        <v>152718.0</v>
      </c>
      <c r="C5" s="13">
        <f t="shared" ref="C5:C11" si="1">G5+J5+M5</f>
        <v>105480.48</v>
      </c>
      <c r="D5" s="14">
        <f t="shared" ref="D5:D11" si="2">B5-C5</f>
        <v>47237.52</v>
      </c>
      <c r="E5" s="15">
        <f t="shared" ref="E5:E6" si="3">D5/B5*100</f>
        <v>30.93120654</v>
      </c>
      <c r="F5" s="16">
        <f t="shared" ref="F5:F6" si="4">D5/K5</f>
        <v>374.9009524</v>
      </c>
      <c r="G5" s="12">
        <f>39536*1.18</f>
        <v>46652.48</v>
      </c>
      <c r="H5" s="12">
        <v>131.0</v>
      </c>
      <c r="I5" s="12">
        <v>131.0</v>
      </c>
      <c r="J5" s="17">
        <f>365*K5</f>
        <v>45990</v>
      </c>
      <c r="K5" s="12">
        <v>126.0</v>
      </c>
      <c r="L5" s="12">
        <f t="shared" ref="L5:L11" si="5">I5-K5</f>
        <v>5</v>
      </c>
      <c r="M5" s="12">
        <f t="shared" ref="M5:M11" si="6">I5*98</f>
        <v>12838</v>
      </c>
      <c r="N5" s="18">
        <f t="shared" ref="N5:N6" si="7">L5/I5*100</f>
        <v>3.816793893</v>
      </c>
      <c r="O5" s="19">
        <f t="shared" ref="O5:O6" si="8">I5/H5*100</f>
        <v>100</v>
      </c>
      <c r="P5" s="20">
        <f t="shared" ref="P5:P6" si="9">K5/I5*100</f>
        <v>96.18320611</v>
      </c>
      <c r="Q5" s="12">
        <v>0.0</v>
      </c>
      <c r="R5" s="12">
        <v>0.0</v>
      </c>
      <c r="S5" s="16">
        <f t="shared" ref="S5:S6" si="10">G5/H5</f>
        <v>356.1258015</v>
      </c>
      <c r="T5" s="16">
        <f t="shared" ref="T5:T6" si="11">G5/I5</f>
        <v>356.1258015</v>
      </c>
      <c r="U5" s="16">
        <f t="shared" ref="U5:U6" si="12">G5/K5</f>
        <v>370.2577778</v>
      </c>
      <c r="V5" s="16">
        <f t="shared" ref="V5:V6" si="13">100-O5</f>
        <v>0</v>
      </c>
    </row>
    <row r="6" ht="15.75" customHeight="1">
      <c r="A6" s="11" t="s">
        <v>25</v>
      </c>
      <c r="B6" s="12">
        <v>87379.0</v>
      </c>
      <c r="C6" s="13">
        <f t="shared" si="1"/>
        <v>30355</v>
      </c>
      <c r="D6" s="14">
        <f t="shared" si="2"/>
        <v>57024</v>
      </c>
      <c r="E6" s="15">
        <f t="shared" si="3"/>
        <v>65.26053171</v>
      </c>
      <c r="F6" s="16">
        <f t="shared" si="4"/>
        <v>1036.8</v>
      </c>
      <c r="G6" s="12">
        <v>0.0</v>
      </c>
      <c r="H6" s="12">
        <v>66.0</v>
      </c>
      <c r="I6" s="12">
        <v>60.0</v>
      </c>
      <c r="J6" s="17">
        <f>445*K6</f>
        <v>24475</v>
      </c>
      <c r="K6" s="12">
        <v>55.0</v>
      </c>
      <c r="L6" s="12">
        <f t="shared" si="5"/>
        <v>5</v>
      </c>
      <c r="M6" s="12">
        <f t="shared" si="6"/>
        <v>5880</v>
      </c>
      <c r="N6" s="18">
        <f t="shared" si="7"/>
        <v>8.333333333</v>
      </c>
      <c r="O6" s="19">
        <f t="shared" si="8"/>
        <v>90.90909091</v>
      </c>
      <c r="P6" s="20">
        <f t="shared" si="9"/>
        <v>91.66666667</v>
      </c>
      <c r="Q6" s="12">
        <v>0.0</v>
      </c>
      <c r="R6" s="12">
        <v>0.0</v>
      </c>
      <c r="S6" s="16">
        <f t="shared" si="10"/>
        <v>0</v>
      </c>
      <c r="T6" s="16">
        <f t="shared" si="11"/>
        <v>0</v>
      </c>
      <c r="U6" s="16">
        <f t="shared" si="12"/>
        <v>0</v>
      </c>
      <c r="V6" s="16">
        <f t="shared" si="13"/>
        <v>9.090909091</v>
      </c>
    </row>
    <row r="7" ht="15.75" customHeight="1">
      <c r="A7" s="11" t="s">
        <v>26</v>
      </c>
      <c r="B7" s="12">
        <v>0.0</v>
      </c>
      <c r="C7" s="13">
        <f t="shared" si="1"/>
        <v>0</v>
      </c>
      <c r="D7" s="14">
        <f t="shared" si="2"/>
        <v>0</v>
      </c>
      <c r="E7" s="15"/>
      <c r="F7" s="16"/>
      <c r="G7" s="12">
        <v>0.0</v>
      </c>
      <c r="H7" s="12">
        <v>0.0</v>
      </c>
      <c r="I7" s="12">
        <v>0.0</v>
      </c>
      <c r="J7" s="17">
        <v>0.0</v>
      </c>
      <c r="K7" s="12">
        <v>0.0</v>
      </c>
      <c r="L7" s="12">
        <f t="shared" si="5"/>
        <v>0</v>
      </c>
      <c r="M7" s="12">
        <f t="shared" si="6"/>
        <v>0</v>
      </c>
      <c r="N7" s="18"/>
      <c r="O7" s="19"/>
      <c r="P7" s="20"/>
      <c r="Q7" s="12">
        <v>0.0</v>
      </c>
      <c r="R7" s="12">
        <v>0.0</v>
      </c>
      <c r="S7" s="16"/>
      <c r="T7" s="16"/>
      <c r="U7" s="16"/>
      <c r="V7" s="16"/>
    </row>
    <row r="8" ht="15.75" customHeight="1">
      <c r="A8" s="11" t="s">
        <v>27</v>
      </c>
      <c r="B8" s="12">
        <v>42031.0</v>
      </c>
      <c r="C8" s="13">
        <f t="shared" si="1"/>
        <v>24754</v>
      </c>
      <c r="D8" s="14">
        <f t="shared" si="2"/>
        <v>17277</v>
      </c>
      <c r="E8" s="15">
        <f t="shared" ref="E8:E11" si="14">D8/B8*100</f>
        <v>41.1053746</v>
      </c>
      <c r="F8" s="16">
        <f t="shared" ref="F8:F11" si="15">D8/K8</f>
        <v>257.8656716</v>
      </c>
      <c r="G8" s="12">
        <v>0.0</v>
      </c>
      <c r="H8" s="12">
        <v>70.0</v>
      </c>
      <c r="I8" s="12">
        <v>68.0</v>
      </c>
      <c r="J8" s="17">
        <f>270*K8</f>
        <v>18090</v>
      </c>
      <c r="K8" s="12">
        <v>67.0</v>
      </c>
      <c r="L8" s="12">
        <f t="shared" si="5"/>
        <v>1</v>
      </c>
      <c r="M8" s="12">
        <f t="shared" si="6"/>
        <v>6664</v>
      </c>
      <c r="N8" s="18">
        <f t="shared" ref="N8:N11" si="16">L8/I8*100</f>
        <v>1.470588235</v>
      </c>
      <c r="O8" s="19">
        <f t="shared" ref="O8:O11" si="17">I8/H8*100</f>
        <v>97.14285714</v>
      </c>
      <c r="P8" s="20">
        <f t="shared" ref="P8:P11" si="18">K8/I8*100</f>
        <v>98.52941176</v>
      </c>
      <c r="Q8" s="12">
        <v>0.0</v>
      </c>
      <c r="R8" s="12">
        <v>0.0</v>
      </c>
      <c r="S8" s="16">
        <f t="shared" ref="S8:S11" si="19">G8/H8</f>
        <v>0</v>
      </c>
      <c r="T8" s="16">
        <f t="shared" ref="T8:T11" si="20">G8/I8</f>
        <v>0</v>
      </c>
      <c r="U8" s="16">
        <f t="shared" ref="U8:U11" si="21">G8/K8</f>
        <v>0</v>
      </c>
      <c r="V8" s="16">
        <f t="shared" ref="V8:V11" si="22">100-O8</f>
        <v>2.857142857</v>
      </c>
    </row>
    <row r="9" ht="15.75" customHeight="1">
      <c r="A9" s="11" t="s">
        <v>28</v>
      </c>
      <c r="B9" s="12">
        <v>57249.0</v>
      </c>
      <c r="C9" s="13">
        <f t="shared" si="1"/>
        <v>25114</v>
      </c>
      <c r="D9" s="14">
        <f t="shared" si="2"/>
        <v>32135</v>
      </c>
      <c r="E9" s="15">
        <f t="shared" si="14"/>
        <v>56.13198484</v>
      </c>
      <c r="F9" s="16">
        <f t="shared" si="15"/>
        <v>669.4791667</v>
      </c>
      <c r="G9" s="12">
        <v>0.0</v>
      </c>
      <c r="H9" s="12">
        <v>53.0</v>
      </c>
      <c r="I9" s="12">
        <v>53.0</v>
      </c>
      <c r="J9" s="17">
        <f>415*K9</f>
        <v>19920</v>
      </c>
      <c r="K9" s="12">
        <v>48.0</v>
      </c>
      <c r="L9" s="12">
        <f t="shared" si="5"/>
        <v>5</v>
      </c>
      <c r="M9" s="12">
        <f t="shared" si="6"/>
        <v>5194</v>
      </c>
      <c r="N9" s="18">
        <f t="shared" si="16"/>
        <v>9.433962264</v>
      </c>
      <c r="O9" s="19">
        <f t="shared" si="17"/>
        <v>100</v>
      </c>
      <c r="P9" s="20">
        <f t="shared" si="18"/>
        <v>90.56603774</v>
      </c>
      <c r="Q9" s="12">
        <v>0.0</v>
      </c>
      <c r="R9" s="12">
        <v>0.0</v>
      </c>
      <c r="S9" s="16">
        <f t="shared" si="19"/>
        <v>0</v>
      </c>
      <c r="T9" s="16">
        <f t="shared" si="20"/>
        <v>0</v>
      </c>
      <c r="U9" s="16">
        <f t="shared" si="21"/>
        <v>0</v>
      </c>
      <c r="V9" s="16">
        <f t="shared" si="22"/>
        <v>0</v>
      </c>
    </row>
    <row r="10" ht="15.75" customHeight="1">
      <c r="A10" s="11" t="s">
        <v>29</v>
      </c>
      <c r="B10" s="12">
        <v>392752.0</v>
      </c>
      <c r="C10" s="51">
        <f t="shared" si="1"/>
        <v>306011.42</v>
      </c>
      <c r="D10" s="52">
        <f t="shared" si="2"/>
        <v>86740.58</v>
      </c>
      <c r="E10" s="15">
        <f t="shared" si="14"/>
        <v>22.0853312</v>
      </c>
      <c r="F10" s="16">
        <f t="shared" si="15"/>
        <v>307.5907092</v>
      </c>
      <c r="G10" s="53">
        <f>135769*1.18</f>
        <v>160207.42</v>
      </c>
      <c r="H10" s="12">
        <v>313.0</v>
      </c>
      <c r="I10" s="12">
        <v>308.0</v>
      </c>
      <c r="J10" s="17">
        <f>410*K10</f>
        <v>115620</v>
      </c>
      <c r="K10" s="12">
        <v>282.0</v>
      </c>
      <c r="L10" s="12">
        <f t="shared" si="5"/>
        <v>26</v>
      </c>
      <c r="M10" s="12">
        <f t="shared" si="6"/>
        <v>30184</v>
      </c>
      <c r="N10" s="18">
        <f t="shared" si="16"/>
        <v>8.441558442</v>
      </c>
      <c r="O10" s="19">
        <f t="shared" si="17"/>
        <v>98.40255591</v>
      </c>
      <c r="P10" s="20">
        <f t="shared" si="18"/>
        <v>91.55844156</v>
      </c>
      <c r="Q10" s="12">
        <v>0.0</v>
      </c>
      <c r="R10" s="12">
        <v>0.0</v>
      </c>
      <c r="S10" s="16">
        <f t="shared" si="19"/>
        <v>511.8447923</v>
      </c>
      <c r="T10" s="16">
        <f t="shared" si="20"/>
        <v>520.153961</v>
      </c>
      <c r="U10" s="16">
        <f t="shared" si="21"/>
        <v>568.1114184</v>
      </c>
      <c r="V10" s="16">
        <f t="shared" si="22"/>
        <v>1.597444089</v>
      </c>
    </row>
    <row r="11" ht="15.75" customHeight="1">
      <c r="A11" s="11" t="s">
        <v>30</v>
      </c>
      <c r="B11" s="12">
        <f>190748+3700</f>
        <v>194448</v>
      </c>
      <c r="C11" s="13">
        <f t="shared" si="1"/>
        <v>191550.94</v>
      </c>
      <c r="D11" s="14">
        <f t="shared" si="2"/>
        <v>2897.06</v>
      </c>
      <c r="E11" s="15">
        <f t="shared" si="14"/>
        <v>1.489889328</v>
      </c>
      <c r="F11" s="16">
        <f t="shared" si="15"/>
        <v>27.59104762</v>
      </c>
      <c r="G11" s="12">
        <f>103033*1.18</f>
        <v>121578.94</v>
      </c>
      <c r="H11" s="12">
        <v>117.0</v>
      </c>
      <c r="I11" s="12">
        <v>114.0</v>
      </c>
      <c r="J11" s="17">
        <f>560*K11</f>
        <v>58800</v>
      </c>
      <c r="K11" s="12">
        <v>105.0</v>
      </c>
      <c r="L11" s="12">
        <f t="shared" si="5"/>
        <v>9</v>
      </c>
      <c r="M11" s="12">
        <f t="shared" si="6"/>
        <v>11172</v>
      </c>
      <c r="N11" s="18">
        <f t="shared" si="16"/>
        <v>7.894736842</v>
      </c>
      <c r="O11" s="19">
        <f t="shared" si="17"/>
        <v>97.43589744</v>
      </c>
      <c r="P11" s="20">
        <f t="shared" si="18"/>
        <v>92.10526316</v>
      </c>
      <c r="Q11" s="12">
        <v>0.0</v>
      </c>
      <c r="R11" s="12">
        <v>0.0</v>
      </c>
      <c r="S11" s="16">
        <f t="shared" si="19"/>
        <v>1039.136239</v>
      </c>
      <c r="T11" s="16">
        <f t="shared" si="20"/>
        <v>1066.48193</v>
      </c>
      <c r="U11" s="16">
        <f t="shared" si="21"/>
        <v>1157.894667</v>
      </c>
      <c r="V11" s="16">
        <f t="shared" si="22"/>
        <v>2.564102564</v>
      </c>
    </row>
    <row r="12" ht="15.75" customHeight="1">
      <c r="G12" s="21">
        <f>SUM(G5:G11)</f>
        <v>328438.84</v>
      </c>
      <c r="J12" s="21">
        <f t="shared" ref="J12:K12" si="23">SUM(J5:J11)</f>
        <v>282895</v>
      </c>
      <c r="K12" s="21">
        <f t="shared" si="23"/>
        <v>683</v>
      </c>
      <c r="U12" s="22">
        <f t="shared" ref="U12:V12" si="24">AVERAGE(U5:U11)</f>
        <v>349.3773105</v>
      </c>
      <c r="V12" s="22">
        <f t="shared" si="24"/>
        <v>2.6849331</v>
      </c>
    </row>
    <row r="13" ht="15.75" customHeight="1">
      <c r="A13" s="23" t="s">
        <v>32</v>
      </c>
      <c r="B13" s="24">
        <f>SUM(B4:B11)</f>
        <v>926577</v>
      </c>
      <c r="D13" s="25" t="s">
        <v>33</v>
      </c>
      <c r="E13" s="25">
        <v>1235.0</v>
      </c>
      <c r="F13" s="21"/>
    </row>
    <row r="14" ht="15.75" customHeight="1">
      <c r="A14" s="23" t="s">
        <v>34</v>
      </c>
      <c r="B14" s="24">
        <f>SUM(C4:C11)</f>
        <v>683265.84</v>
      </c>
      <c r="D14" s="25" t="s">
        <v>35</v>
      </c>
      <c r="E14" s="25">
        <v>350.0</v>
      </c>
    </row>
    <row r="15" ht="15.75" customHeight="1">
      <c r="A15" s="23" t="s">
        <v>36</v>
      </c>
      <c r="B15" s="24">
        <f>B13-B14</f>
        <v>243311.16</v>
      </c>
      <c r="D15" s="25" t="s">
        <v>37</v>
      </c>
      <c r="E15" s="25">
        <v>3.0</v>
      </c>
    </row>
    <row r="16" ht="15.75" customHeight="1">
      <c r="A16" s="23" t="s">
        <v>38</v>
      </c>
      <c r="B16" s="26">
        <f>B15/B13*100</f>
        <v>26.2591409</v>
      </c>
    </row>
    <row r="17" ht="15.75" customHeight="1"/>
    <row r="18" ht="15.75" customHeight="1"/>
    <row r="19" ht="15.75" customHeight="1">
      <c r="B19" s="21" t="s">
        <v>39</v>
      </c>
    </row>
    <row r="20" ht="15.75" customHeight="1"/>
    <row r="21" ht="15.75" customHeight="1">
      <c r="A21" s="54" t="s">
        <v>2</v>
      </c>
      <c r="B21" s="55" t="s">
        <v>3</v>
      </c>
      <c r="C21" s="55" t="s">
        <v>4</v>
      </c>
      <c r="D21" s="55" t="s">
        <v>5</v>
      </c>
      <c r="E21" s="56" t="s">
        <v>6</v>
      </c>
      <c r="F21" s="55" t="s">
        <v>7</v>
      </c>
      <c r="G21" s="55" t="s">
        <v>9</v>
      </c>
      <c r="H21" s="55" t="s">
        <v>11</v>
      </c>
      <c r="I21" s="55" t="s">
        <v>12</v>
      </c>
      <c r="J21" s="55" t="s">
        <v>42</v>
      </c>
      <c r="K21" s="55" t="s">
        <v>43</v>
      </c>
      <c r="L21" s="56" t="s">
        <v>15</v>
      </c>
    </row>
    <row r="22" ht="15.75" customHeight="1">
      <c r="A22" s="11" t="s">
        <v>24</v>
      </c>
      <c r="B22" s="12">
        <f>402495.8+12969.12</f>
        <v>415464.92</v>
      </c>
      <c r="C22" s="13">
        <f t="shared" ref="C22:C28" si="25">K22+H22</f>
        <v>258925.68</v>
      </c>
      <c r="D22" s="57">
        <f t="shared" ref="D22:D28" si="26">B22-C22</f>
        <v>156539.24</v>
      </c>
      <c r="E22" s="15">
        <f t="shared" ref="E22:E28" si="27">D22/B22*100</f>
        <v>37.67808844</v>
      </c>
      <c r="F22" s="16">
        <f t="shared" ref="F22:F28" si="28">D22/I22</f>
        <v>405.5420725</v>
      </c>
      <c r="G22" s="12">
        <f>426+10</f>
        <v>436</v>
      </c>
      <c r="H22" s="17">
        <f>365*I22</f>
        <v>140890</v>
      </c>
      <c r="I22" s="12">
        <f>10+376</f>
        <v>386</v>
      </c>
      <c r="J22" s="12">
        <f t="shared" ref="J22:J28" si="29">G22-I22</f>
        <v>50</v>
      </c>
      <c r="K22" s="12">
        <f>3140.29+114895.39</f>
        <v>118035.68</v>
      </c>
      <c r="L22" s="58">
        <f t="shared" ref="L22:L28" si="30">J22/G22*100</f>
        <v>11.46788991</v>
      </c>
    </row>
    <row r="23" ht="15.75" customHeight="1">
      <c r="A23" s="11" t="s">
        <v>25</v>
      </c>
      <c r="B23" s="12">
        <f>438509.82</f>
        <v>438509.82</v>
      </c>
      <c r="C23" s="13">
        <f t="shared" si="25"/>
        <v>271901.75</v>
      </c>
      <c r="D23" s="57">
        <f t="shared" si="26"/>
        <v>166608.07</v>
      </c>
      <c r="E23" s="15">
        <f t="shared" si="27"/>
        <v>37.994148</v>
      </c>
      <c r="F23" s="16">
        <f t="shared" si="28"/>
        <v>484.3257849</v>
      </c>
      <c r="G23" s="12">
        <v>373.0</v>
      </c>
      <c r="H23" s="17">
        <f>445*I23</f>
        <v>153080</v>
      </c>
      <c r="I23" s="12">
        <v>344.0</v>
      </c>
      <c r="J23" s="12">
        <f t="shared" si="29"/>
        <v>29</v>
      </c>
      <c r="K23" s="12">
        <f>118821.75</f>
        <v>118821.75</v>
      </c>
      <c r="L23" s="58">
        <f t="shared" si="30"/>
        <v>7.774798928</v>
      </c>
    </row>
    <row r="24" ht="15.75" customHeight="1">
      <c r="A24" s="11" t="s">
        <v>26</v>
      </c>
      <c r="B24" s="12">
        <f>23189.62</f>
        <v>23189.62</v>
      </c>
      <c r="C24" s="13">
        <f t="shared" si="25"/>
        <v>31147.47</v>
      </c>
      <c r="D24" s="57">
        <f t="shared" si="26"/>
        <v>-7957.85</v>
      </c>
      <c r="E24" s="15">
        <f t="shared" si="27"/>
        <v>-34.31643123</v>
      </c>
      <c r="F24" s="16">
        <f t="shared" si="28"/>
        <v>-497.365625</v>
      </c>
      <c r="G24" s="12">
        <v>25.0</v>
      </c>
      <c r="H24" s="17">
        <f>980*I24</f>
        <v>15680</v>
      </c>
      <c r="I24" s="12">
        <v>16.0</v>
      </c>
      <c r="J24" s="12">
        <f t="shared" si="29"/>
        <v>9</v>
      </c>
      <c r="K24" s="12">
        <v>15467.47</v>
      </c>
      <c r="L24" s="58">
        <f t="shared" si="30"/>
        <v>36</v>
      </c>
    </row>
    <row r="25" ht="15.75" customHeight="1">
      <c r="A25" s="11" t="s">
        <v>27</v>
      </c>
      <c r="B25" s="12">
        <f>11254.49+154991.81</f>
        <v>166246.3</v>
      </c>
      <c r="C25" s="13">
        <f t="shared" si="25"/>
        <v>130296.9</v>
      </c>
      <c r="D25" s="57">
        <f t="shared" si="26"/>
        <v>35949.4</v>
      </c>
      <c r="E25" s="15">
        <f t="shared" si="27"/>
        <v>21.62418051</v>
      </c>
      <c r="F25" s="16">
        <f t="shared" si="28"/>
        <v>119.8313333</v>
      </c>
      <c r="G25" s="12">
        <f>318+15</f>
        <v>333</v>
      </c>
      <c r="H25" s="17">
        <f>270*I25</f>
        <v>81000</v>
      </c>
      <c r="I25" s="12">
        <f>14+286</f>
        <v>300</v>
      </c>
      <c r="J25" s="12">
        <f t="shared" si="29"/>
        <v>33</v>
      </c>
      <c r="K25" s="12">
        <f>47485.96 +1810.94 
</f>
        <v>49296.9</v>
      </c>
      <c r="L25" s="58">
        <f t="shared" si="30"/>
        <v>9.90990991</v>
      </c>
    </row>
    <row r="26" ht="15.75" customHeight="1">
      <c r="A26" s="11" t="s">
        <v>28</v>
      </c>
      <c r="B26" s="12">
        <f>41645.42</f>
        <v>41645.42</v>
      </c>
      <c r="C26" s="13">
        <f t="shared" si="25"/>
        <v>27485.43</v>
      </c>
      <c r="D26" s="57">
        <f t="shared" si="26"/>
        <v>14159.99</v>
      </c>
      <c r="E26" s="15">
        <f t="shared" si="27"/>
        <v>34.00131395</v>
      </c>
      <c r="F26" s="16">
        <f t="shared" si="28"/>
        <v>372.6313158</v>
      </c>
      <c r="G26" s="12">
        <v>43.0</v>
      </c>
      <c r="H26" s="17">
        <f>415*I26</f>
        <v>15770</v>
      </c>
      <c r="I26" s="12">
        <v>38.0</v>
      </c>
      <c r="J26" s="12">
        <f t="shared" si="29"/>
        <v>5</v>
      </c>
      <c r="K26" s="12">
        <f>11715.43 
</f>
        <v>11715.43</v>
      </c>
      <c r="L26" s="58">
        <f t="shared" si="30"/>
        <v>11.62790698</v>
      </c>
    </row>
    <row r="27" ht="15.75" customHeight="1">
      <c r="A27" s="11" t="s">
        <v>29</v>
      </c>
      <c r="B27" s="12">
        <f>12766.3+382954</f>
        <v>395720.3</v>
      </c>
      <c r="C27" s="13">
        <f t="shared" si="25"/>
        <v>212579.78</v>
      </c>
      <c r="D27" s="57">
        <f t="shared" si="26"/>
        <v>183140.52</v>
      </c>
      <c r="E27" s="15">
        <f t="shared" si="27"/>
        <v>46.28029444</v>
      </c>
      <c r="F27" s="16">
        <f t="shared" si="28"/>
        <v>598.4984314</v>
      </c>
      <c r="G27" s="12">
        <v>328.0</v>
      </c>
      <c r="H27" s="17">
        <f>410*I27</f>
        <v>125460</v>
      </c>
      <c r="I27" s="12">
        <f>298+8</f>
        <v>306</v>
      </c>
      <c r="J27" s="12">
        <f t="shared" si="29"/>
        <v>22</v>
      </c>
      <c r="K27" s="12">
        <f>84930.84+2188.94 
</f>
        <v>87119.78</v>
      </c>
      <c r="L27" s="58">
        <f t="shared" si="30"/>
        <v>6.707317073</v>
      </c>
    </row>
    <row r="28" ht="15.75" customHeight="1">
      <c r="A28" s="11" t="s">
        <v>30</v>
      </c>
      <c r="B28" s="12">
        <f>50407.08</f>
        <v>50407.08</v>
      </c>
      <c r="C28" s="13">
        <f t="shared" si="25"/>
        <v>27941.84</v>
      </c>
      <c r="D28" s="57">
        <f t="shared" si="26"/>
        <v>22465.24</v>
      </c>
      <c r="E28" s="15">
        <f t="shared" si="27"/>
        <v>44.5676282</v>
      </c>
      <c r="F28" s="16">
        <f t="shared" si="28"/>
        <v>802.33</v>
      </c>
      <c r="G28" s="12">
        <v>34.0</v>
      </c>
      <c r="H28" s="17">
        <f>560*I28</f>
        <v>15680</v>
      </c>
      <c r="I28" s="12">
        <v>28.0</v>
      </c>
      <c r="J28" s="12">
        <f t="shared" si="29"/>
        <v>6</v>
      </c>
      <c r="K28" s="12">
        <f>12001.84+260</f>
        <v>12261.84</v>
      </c>
      <c r="L28" s="58">
        <f t="shared" si="30"/>
        <v>17.64705882</v>
      </c>
    </row>
    <row r="29" ht="15.75" customHeight="1">
      <c r="H29" s="21">
        <f t="shared" ref="H29:I29" si="31">SUM(H22:H28)</f>
        <v>547560</v>
      </c>
      <c r="I29" s="21">
        <f t="shared" si="31"/>
        <v>1418</v>
      </c>
    </row>
    <row r="30" ht="15.75" customHeight="1">
      <c r="A30" s="23" t="s">
        <v>32</v>
      </c>
      <c r="B30" s="24">
        <f>SUM(B21:B28)</f>
        <v>1531183.46</v>
      </c>
      <c r="D30" s="25" t="s">
        <v>33</v>
      </c>
      <c r="E30" s="25">
        <f>B30/SUM(G22:G28)</f>
        <v>974.0352799</v>
      </c>
      <c r="J30" s="21" t="s">
        <v>8</v>
      </c>
      <c r="K30" s="21" t="s">
        <v>43</v>
      </c>
    </row>
    <row r="31" ht="15.75" customHeight="1">
      <c r="A31" s="23" t="s">
        <v>34</v>
      </c>
      <c r="B31" s="24">
        <f>SUM(C21:C28)</f>
        <v>960278.85</v>
      </c>
      <c r="D31" s="25" t="s">
        <v>35</v>
      </c>
      <c r="E31" s="25"/>
      <c r="J31" s="21">
        <f>186248</f>
        <v>186248</v>
      </c>
      <c r="K31" s="21">
        <f>sum(K22:K28)-J31</f>
        <v>226470.85</v>
      </c>
    </row>
    <row r="32" ht="15.75" customHeight="1">
      <c r="A32" s="23" t="s">
        <v>36</v>
      </c>
      <c r="B32" s="24">
        <f>B30-B31</f>
        <v>570904.61</v>
      </c>
      <c r="D32" s="25" t="s">
        <v>37</v>
      </c>
      <c r="E32" s="25"/>
    </row>
    <row r="33" ht="15.75" customHeight="1">
      <c r="A33" s="23" t="s">
        <v>38</v>
      </c>
      <c r="B33" s="26">
        <f>B32/B30*100</f>
        <v>37.28518658</v>
      </c>
    </row>
    <row r="34" ht="15.75" customHeight="1"/>
    <row r="35" ht="15.75" customHeight="1"/>
    <row r="36" ht="15.75" customHeight="1">
      <c r="A36" s="3"/>
      <c r="B36" s="45"/>
    </row>
    <row r="37" ht="15.75" customHeight="1">
      <c r="A37" s="3"/>
      <c r="B37" s="45"/>
    </row>
    <row r="38" ht="15.75" customHeight="1">
      <c r="A38" s="3"/>
      <c r="B38" s="45"/>
    </row>
    <row r="39" ht="15.75" customHeight="1">
      <c r="A39" s="3"/>
      <c r="B39" s="45"/>
    </row>
    <row r="40" ht="15.75" customHeight="1">
      <c r="A40" s="3"/>
      <c r="B40" s="45"/>
    </row>
    <row r="41" ht="15.75" customHeight="1">
      <c r="A41" s="46"/>
      <c r="B41" s="47"/>
    </row>
    <row r="42" ht="15.75" customHeight="1"/>
    <row r="43" ht="15.75" customHeight="1">
      <c r="A43" s="59"/>
      <c r="B43" s="49"/>
      <c r="G43" s="21"/>
    </row>
    <row r="44" ht="15.75" customHeight="1">
      <c r="A44" s="60"/>
      <c r="B44" s="49"/>
      <c r="C44" s="21"/>
      <c r="G44" s="21"/>
      <c r="H44" s="61"/>
    </row>
    <row r="45" ht="15.75" customHeight="1">
      <c r="A45" s="60"/>
      <c r="B45" s="49"/>
      <c r="C45" s="21"/>
      <c r="G45" s="21"/>
      <c r="H45" s="61"/>
    </row>
    <row r="46" ht="15.75" customHeight="1">
      <c r="A46" s="59"/>
      <c r="B46" s="49"/>
      <c r="C46" s="21"/>
      <c r="G46" s="21"/>
      <c r="H46" s="61"/>
    </row>
    <row r="47" ht="15.75" customHeight="1">
      <c r="A47" s="59"/>
      <c r="B47" s="49"/>
      <c r="G47" s="21"/>
      <c r="H47" s="61"/>
    </row>
    <row r="48" ht="15.75" customHeight="1">
      <c r="A48" s="59"/>
      <c r="B48" s="49"/>
    </row>
    <row r="49" ht="15.75" customHeight="1">
      <c r="A49" s="59"/>
      <c r="B49" s="49"/>
    </row>
    <row r="50" ht="15.75" customHeight="1"/>
    <row r="51" ht="15.75" customHeight="1"/>
    <row r="52" ht="15.75" customHeight="1">
      <c r="A52" s="62"/>
      <c r="B52" s="63"/>
      <c r="C52" s="63"/>
    </row>
    <row r="53" ht="15.75" customHeight="1">
      <c r="A53" s="62"/>
      <c r="B53" s="63"/>
      <c r="C53" s="63"/>
    </row>
    <row r="54" ht="15.75" customHeight="1">
      <c r="A54" s="62"/>
      <c r="B54" s="63"/>
      <c r="C54" s="63"/>
    </row>
    <row r="55" ht="15.75" customHeight="1">
      <c r="A55" s="62"/>
      <c r="B55" s="63"/>
      <c r="C55" s="63"/>
    </row>
    <row r="56" ht="15.75" customHeight="1">
      <c r="A56" s="62"/>
      <c r="B56" s="63"/>
      <c r="C56" s="63"/>
    </row>
    <row r="57" ht="15.75" customHeight="1">
      <c r="A57" s="62"/>
      <c r="B57" s="63"/>
      <c r="C57" s="63"/>
    </row>
    <row r="58" ht="15.75" customHeight="1">
      <c r="A58" s="62"/>
      <c r="B58" s="63"/>
      <c r="C58" s="63"/>
    </row>
    <row r="59" ht="15.75" customHeight="1">
      <c r="A59" s="63"/>
      <c r="B59" s="63"/>
      <c r="C59" s="63"/>
    </row>
    <row r="60" ht="15.75" customHeight="1">
      <c r="A60" s="63"/>
      <c r="B60" s="63"/>
      <c r="C60" s="63"/>
    </row>
    <row r="61" ht="15.75" customHeight="1">
      <c r="A61" s="63"/>
      <c r="B61" s="63"/>
      <c r="C61" s="63"/>
    </row>
    <row r="62" ht="15.75" customHeight="1">
      <c r="A62" s="63"/>
      <c r="B62" s="63"/>
      <c r="C62" s="6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16.63"/>
    <col customWidth="1" min="11" max="11" width="14.63"/>
  </cols>
  <sheetData>
    <row r="1" ht="15.75" customHeight="1">
      <c r="A1" s="1" t="s">
        <v>44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4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7" t="s">
        <v>2</v>
      </c>
      <c r="B4" s="8" t="s">
        <v>3</v>
      </c>
      <c r="C4" s="8" t="s">
        <v>4</v>
      </c>
      <c r="D4" s="8" t="s">
        <v>5</v>
      </c>
      <c r="E4" s="9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9" t="s">
        <v>15</v>
      </c>
      <c r="O4" s="9" t="s">
        <v>16</v>
      </c>
      <c r="P4" s="9" t="s">
        <v>17</v>
      </c>
      <c r="Q4" s="8" t="s">
        <v>18</v>
      </c>
      <c r="R4" s="10" t="s">
        <v>19</v>
      </c>
      <c r="S4" s="9" t="s">
        <v>20</v>
      </c>
      <c r="T4" s="9" t="s">
        <v>21</v>
      </c>
      <c r="U4" s="8" t="s">
        <v>22</v>
      </c>
      <c r="V4" s="8" t="s">
        <v>23</v>
      </c>
    </row>
    <row r="5" ht="15.75" customHeight="1">
      <c r="A5" s="11" t="s">
        <v>24</v>
      </c>
      <c r="B5" s="12">
        <v>62843.0</v>
      </c>
      <c r="C5" s="13">
        <f t="shared" ref="C5:C11" si="1">G5+J5+M5</f>
        <v>26053</v>
      </c>
      <c r="D5" s="14">
        <f t="shared" ref="D5:D11" si="2">B5-C5</f>
        <v>36790</v>
      </c>
      <c r="E5" s="15">
        <f t="shared" ref="E5:E6" si="3">D5/B5*100</f>
        <v>58.54271757</v>
      </c>
      <c r="F5" s="16">
        <f t="shared" ref="F5:F6" si="4">D5/K5</f>
        <v>668.9090909</v>
      </c>
      <c r="G5" s="12">
        <v>0.0</v>
      </c>
      <c r="H5" s="12">
        <v>64.0</v>
      </c>
      <c r="I5" s="12">
        <v>61.0</v>
      </c>
      <c r="J5" s="17">
        <f>365*K5</f>
        <v>20075</v>
      </c>
      <c r="K5" s="12">
        <v>55.0</v>
      </c>
      <c r="L5" s="12">
        <f t="shared" ref="L5:L11" si="5">I5-K5</f>
        <v>6</v>
      </c>
      <c r="M5" s="12">
        <f t="shared" ref="M5:M11" si="6">I5*98</f>
        <v>5978</v>
      </c>
      <c r="N5" s="18">
        <f t="shared" ref="N5:N6" si="7">L5/I5*100</f>
        <v>9.836065574</v>
      </c>
      <c r="O5" s="19">
        <f t="shared" ref="O5:O6" si="8">I5/H5*100</f>
        <v>95.3125</v>
      </c>
      <c r="P5" s="20">
        <f t="shared" ref="P5:P6" si="9">K5/I5*100</f>
        <v>90.16393443</v>
      </c>
      <c r="Q5" s="12">
        <v>0.0</v>
      </c>
      <c r="R5" s="12">
        <v>0.0</v>
      </c>
      <c r="S5" s="16">
        <f t="shared" ref="S5:S6" si="10">G5/H5</f>
        <v>0</v>
      </c>
      <c r="T5" s="16">
        <f t="shared" ref="T5:T6" si="11">G5/I5</f>
        <v>0</v>
      </c>
      <c r="U5" s="16">
        <f t="shared" ref="U5:U6" si="12">G5/K5</f>
        <v>0</v>
      </c>
      <c r="V5" s="16">
        <f t="shared" ref="V5:V6" si="13">100-O5</f>
        <v>4.6875</v>
      </c>
    </row>
    <row r="6" ht="15.75" customHeight="1">
      <c r="A6" s="11" t="s">
        <v>25</v>
      </c>
      <c r="B6" s="12">
        <v>85621.0</v>
      </c>
      <c r="C6" s="13">
        <f t="shared" si="1"/>
        <v>33221</v>
      </c>
      <c r="D6" s="14">
        <f t="shared" si="2"/>
        <v>52400</v>
      </c>
      <c r="E6" s="15">
        <f t="shared" si="3"/>
        <v>61.19993927</v>
      </c>
      <c r="F6" s="16">
        <f t="shared" si="4"/>
        <v>859.0163934</v>
      </c>
      <c r="G6" s="12">
        <v>0.0</v>
      </c>
      <c r="H6" s="12">
        <v>66.0</v>
      </c>
      <c r="I6" s="12">
        <v>62.0</v>
      </c>
      <c r="J6" s="17">
        <f>K6*445</f>
        <v>27145</v>
      </c>
      <c r="K6" s="12">
        <v>61.0</v>
      </c>
      <c r="L6" s="12">
        <f t="shared" si="5"/>
        <v>1</v>
      </c>
      <c r="M6" s="12">
        <f t="shared" si="6"/>
        <v>6076</v>
      </c>
      <c r="N6" s="18">
        <f t="shared" si="7"/>
        <v>1.612903226</v>
      </c>
      <c r="O6" s="19">
        <f t="shared" si="8"/>
        <v>93.93939394</v>
      </c>
      <c r="P6" s="20">
        <f t="shared" si="9"/>
        <v>98.38709677</v>
      </c>
      <c r="Q6" s="12">
        <v>0.0</v>
      </c>
      <c r="R6" s="12">
        <v>0.0</v>
      </c>
      <c r="S6" s="16">
        <f t="shared" si="10"/>
        <v>0</v>
      </c>
      <c r="T6" s="16">
        <f t="shared" si="11"/>
        <v>0</v>
      </c>
      <c r="U6" s="16">
        <f t="shared" si="12"/>
        <v>0</v>
      </c>
      <c r="V6" s="16">
        <f t="shared" si="13"/>
        <v>6.060606061</v>
      </c>
    </row>
    <row r="7" ht="15.75" customHeight="1">
      <c r="A7" s="11" t="s">
        <v>26</v>
      </c>
      <c r="B7" s="12">
        <v>0.0</v>
      </c>
      <c r="C7" s="13">
        <f t="shared" si="1"/>
        <v>0</v>
      </c>
      <c r="D7" s="14">
        <f t="shared" si="2"/>
        <v>0</v>
      </c>
      <c r="E7" s="15"/>
      <c r="F7" s="16"/>
      <c r="G7" s="12">
        <v>0.0</v>
      </c>
      <c r="H7" s="12">
        <v>0.0</v>
      </c>
      <c r="I7" s="12">
        <v>0.0</v>
      </c>
      <c r="J7" s="17">
        <v>0.0</v>
      </c>
      <c r="K7" s="12">
        <v>0.0</v>
      </c>
      <c r="L7" s="12">
        <f t="shared" si="5"/>
        <v>0</v>
      </c>
      <c r="M7" s="12">
        <f t="shared" si="6"/>
        <v>0</v>
      </c>
      <c r="N7" s="18"/>
      <c r="O7" s="19"/>
      <c r="P7" s="20"/>
      <c r="Q7" s="12">
        <v>0.0</v>
      </c>
      <c r="R7" s="12">
        <v>0.0</v>
      </c>
      <c r="S7" s="16"/>
      <c r="T7" s="16"/>
      <c r="U7" s="16"/>
      <c r="V7" s="16"/>
    </row>
    <row r="8" ht="15.75" customHeight="1">
      <c r="A8" s="11" t="s">
        <v>27</v>
      </c>
      <c r="B8" s="12">
        <v>52417.0</v>
      </c>
      <c r="C8" s="13">
        <f t="shared" si="1"/>
        <v>36358</v>
      </c>
      <c r="D8" s="14">
        <f t="shared" si="2"/>
        <v>16059</v>
      </c>
      <c r="E8" s="15">
        <f t="shared" ref="E8:E11" si="14">D8/B8*100</f>
        <v>30.63700708</v>
      </c>
      <c r="F8" s="16">
        <f t="shared" ref="F8:F11" si="15">D8/K8</f>
        <v>163.8673469</v>
      </c>
      <c r="G8" s="12">
        <v>0.0</v>
      </c>
      <c r="H8" s="12">
        <v>102.0</v>
      </c>
      <c r="I8" s="12">
        <v>101.0</v>
      </c>
      <c r="J8" s="17">
        <f>270*K8</f>
        <v>26460</v>
      </c>
      <c r="K8" s="12">
        <v>98.0</v>
      </c>
      <c r="L8" s="12">
        <f t="shared" si="5"/>
        <v>3</v>
      </c>
      <c r="M8" s="12">
        <f t="shared" si="6"/>
        <v>9898</v>
      </c>
      <c r="N8" s="18">
        <f t="shared" ref="N8:N11" si="16">L8/I8*100</f>
        <v>2.97029703</v>
      </c>
      <c r="O8" s="19">
        <f t="shared" ref="O8:O11" si="17">I8/H8*100</f>
        <v>99.01960784</v>
      </c>
      <c r="P8" s="20">
        <f t="shared" ref="P8:P11" si="18">K8/I8*100</f>
        <v>97.02970297</v>
      </c>
      <c r="Q8" s="12">
        <v>0.0</v>
      </c>
      <c r="R8" s="12">
        <v>0.0</v>
      </c>
      <c r="S8" s="16">
        <f t="shared" ref="S8:S11" si="19">G8/H8</f>
        <v>0</v>
      </c>
      <c r="T8" s="16">
        <f t="shared" ref="T8:T11" si="20">G8/I8</f>
        <v>0</v>
      </c>
      <c r="U8" s="16">
        <f t="shared" ref="U8:U11" si="21">G8/K8</f>
        <v>0</v>
      </c>
      <c r="V8" s="16">
        <f t="shared" ref="V8:V11" si="22">100-O8</f>
        <v>0.9803921569</v>
      </c>
    </row>
    <row r="9" ht="15.75" customHeight="1">
      <c r="A9" s="11" t="s">
        <v>28</v>
      </c>
      <c r="B9" s="12">
        <v>37147.0</v>
      </c>
      <c r="C9" s="13">
        <f t="shared" si="1"/>
        <v>19177</v>
      </c>
      <c r="D9" s="14">
        <f t="shared" si="2"/>
        <v>17970</v>
      </c>
      <c r="E9" s="15">
        <f t="shared" si="14"/>
        <v>48.37537352</v>
      </c>
      <c r="F9" s="16">
        <f t="shared" si="15"/>
        <v>485.6756757</v>
      </c>
      <c r="G9" s="12">
        <v>0.0</v>
      </c>
      <c r="H9" s="12">
        <v>46.0</v>
      </c>
      <c r="I9" s="12">
        <v>39.0</v>
      </c>
      <c r="J9" s="17">
        <f>415*K9</f>
        <v>15355</v>
      </c>
      <c r="K9" s="12">
        <v>37.0</v>
      </c>
      <c r="L9" s="12">
        <f t="shared" si="5"/>
        <v>2</v>
      </c>
      <c r="M9" s="12">
        <f t="shared" si="6"/>
        <v>3822</v>
      </c>
      <c r="N9" s="18">
        <f t="shared" si="16"/>
        <v>5.128205128</v>
      </c>
      <c r="O9" s="19">
        <f t="shared" si="17"/>
        <v>84.7826087</v>
      </c>
      <c r="P9" s="20">
        <f t="shared" si="18"/>
        <v>94.87179487</v>
      </c>
      <c r="Q9" s="12">
        <v>0.0</v>
      </c>
      <c r="R9" s="12">
        <v>0.0</v>
      </c>
      <c r="S9" s="16">
        <f t="shared" si="19"/>
        <v>0</v>
      </c>
      <c r="T9" s="16">
        <f t="shared" si="20"/>
        <v>0</v>
      </c>
      <c r="U9" s="16">
        <f t="shared" si="21"/>
        <v>0</v>
      </c>
      <c r="V9" s="16">
        <f t="shared" si="22"/>
        <v>15.2173913</v>
      </c>
    </row>
    <row r="10" ht="15.75" customHeight="1">
      <c r="A10" s="11" t="s">
        <v>29</v>
      </c>
      <c r="B10" s="12">
        <v>719573.0</v>
      </c>
      <c r="C10" s="13">
        <f t="shared" si="1"/>
        <v>576620.04</v>
      </c>
      <c r="D10" s="14">
        <f t="shared" si="2"/>
        <v>142952.96</v>
      </c>
      <c r="E10" s="15">
        <f t="shared" si="14"/>
        <v>19.86635963</v>
      </c>
      <c r="F10" s="16">
        <f t="shared" si="15"/>
        <v>268.7085714</v>
      </c>
      <c r="G10" s="12">
        <f>255478*1.18</f>
        <v>301464.04</v>
      </c>
      <c r="H10" s="12">
        <v>592.0</v>
      </c>
      <c r="I10" s="12">
        <v>582.0</v>
      </c>
      <c r="J10" s="17">
        <f>K10*410</f>
        <v>218120</v>
      </c>
      <c r="K10" s="12">
        <v>532.0</v>
      </c>
      <c r="L10" s="12">
        <f t="shared" si="5"/>
        <v>50</v>
      </c>
      <c r="M10" s="12">
        <f t="shared" si="6"/>
        <v>57036</v>
      </c>
      <c r="N10" s="18">
        <f t="shared" si="16"/>
        <v>8.591065292</v>
      </c>
      <c r="O10" s="19">
        <f t="shared" si="17"/>
        <v>98.31081081</v>
      </c>
      <c r="P10" s="20">
        <f t="shared" si="18"/>
        <v>91.40893471</v>
      </c>
      <c r="Q10" s="12">
        <v>0.0</v>
      </c>
      <c r="R10" s="12">
        <v>0.0</v>
      </c>
      <c r="S10" s="16">
        <f t="shared" si="19"/>
        <v>509.2297973</v>
      </c>
      <c r="T10" s="16">
        <f t="shared" si="20"/>
        <v>517.9794502</v>
      </c>
      <c r="U10" s="16">
        <f t="shared" si="21"/>
        <v>566.6617293</v>
      </c>
      <c r="V10" s="16">
        <f t="shared" si="22"/>
        <v>1.689189189</v>
      </c>
    </row>
    <row r="11" ht="15.75" customHeight="1">
      <c r="A11" s="11" t="s">
        <v>30</v>
      </c>
      <c r="B11" s="12">
        <v>231325.0</v>
      </c>
      <c r="C11" s="13">
        <f t="shared" si="1"/>
        <v>225768.3</v>
      </c>
      <c r="D11" s="14">
        <f t="shared" si="2"/>
        <v>5556.7</v>
      </c>
      <c r="E11" s="15">
        <f t="shared" si="14"/>
        <v>2.402118232</v>
      </c>
      <c r="F11" s="16">
        <f t="shared" si="15"/>
        <v>35.84967742</v>
      </c>
      <c r="G11" s="12">
        <f>103485*1.18</f>
        <v>122112.3</v>
      </c>
      <c r="H11" s="12">
        <v>187.0</v>
      </c>
      <c r="I11" s="12">
        <v>172.0</v>
      </c>
      <c r="J11" s="17">
        <f>K11*560</f>
        <v>86800</v>
      </c>
      <c r="K11" s="12">
        <v>155.0</v>
      </c>
      <c r="L11" s="12">
        <f t="shared" si="5"/>
        <v>17</v>
      </c>
      <c r="M11" s="12">
        <f t="shared" si="6"/>
        <v>16856</v>
      </c>
      <c r="N11" s="18">
        <f t="shared" si="16"/>
        <v>9.88372093</v>
      </c>
      <c r="O11" s="19">
        <f t="shared" si="17"/>
        <v>91.97860963</v>
      </c>
      <c r="P11" s="20">
        <f t="shared" si="18"/>
        <v>90.11627907</v>
      </c>
      <c r="Q11" s="12">
        <v>0.0</v>
      </c>
      <c r="R11" s="12">
        <v>0.0</v>
      </c>
      <c r="S11" s="16">
        <f t="shared" si="19"/>
        <v>653.0069519</v>
      </c>
      <c r="T11" s="16">
        <f t="shared" si="20"/>
        <v>709.9552326</v>
      </c>
      <c r="U11" s="16">
        <f t="shared" si="21"/>
        <v>787.8212903</v>
      </c>
      <c r="V11" s="16">
        <f t="shared" si="22"/>
        <v>8.021390374</v>
      </c>
    </row>
    <row r="12" ht="15.75" customHeight="1">
      <c r="G12" s="21">
        <f t="shared" ref="G12:H12" si="23">SUM(G5:G11)</f>
        <v>423576.34</v>
      </c>
      <c r="H12" s="21">
        <f t="shared" si="23"/>
        <v>1057</v>
      </c>
      <c r="K12" s="21">
        <f>SUM(K5:K11)</f>
        <v>938</v>
      </c>
      <c r="U12" s="22">
        <f t="shared" ref="U12:V12" si="24">AVERAGE(U5:U11)</f>
        <v>225.7471699</v>
      </c>
      <c r="V12" s="22">
        <f t="shared" si="24"/>
        <v>6.109411514</v>
      </c>
    </row>
    <row r="13" ht="15.75" customHeight="1">
      <c r="A13" s="23" t="s">
        <v>32</v>
      </c>
      <c r="B13" s="24">
        <f>SUM(B4:B11)</f>
        <v>1188926</v>
      </c>
      <c r="D13" s="25" t="s">
        <v>33</v>
      </c>
      <c r="E13" s="25">
        <v>1130.0</v>
      </c>
      <c r="F13" s="21"/>
    </row>
    <row r="14" ht="15.75" customHeight="1">
      <c r="A14" s="23" t="s">
        <v>34</v>
      </c>
      <c r="B14" s="24">
        <f>SUM(C4:C11)</f>
        <v>917197.34</v>
      </c>
      <c r="D14" s="25" t="s">
        <v>35</v>
      </c>
      <c r="E14" s="25">
        <v>225.0</v>
      </c>
    </row>
    <row r="15" ht="15.75" customHeight="1">
      <c r="A15" s="23" t="s">
        <v>36</v>
      </c>
      <c r="B15" s="24">
        <f>B13-B14</f>
        <v>271728.66</v>
      </c>
      <c r="D15" s="25" t="s">
        <v>37</v>
      </c>
      <c r="E15" s="25">
        <v>2.8</v>
      </c>
    </row>
    <row r="16" ht="15.75" customHeight="1">
      <c r="A16" s="23" t="s">
        <v>38</v>
      </c>
      <c r="B16" s="26">
        <f>B15/B13*100</f>
        <v>22.85496827</v>
      </c>
    </row>
    <row r="17" ht="15.75" customHeight="1"/>
    <row r="18" ht="15.75" customHeight="1"/>
    <row r="19" ht="15.75" customHeight="1">
      <c r="B19" s="21" t="s">
        <v>39</v>
      </c>
    </row>
    <row r="20" ht="15.75" customHeight="1"/>
    <row r="21" ht="15.75" customHeight="1">
      <c r="A21" s="54" t="s">
        <v>45</v>
      </c>
      <c r="B21" s="55" t="s">
        <v>3</v>
      </c>
      <c r="C21" s="55" t="s">
        <v>4</v>
      </c>
      <c r="D21" s="55" t="s">
        <v>5</v>
      </c>
      <c r="E21" s="56" t="s">
        <v>6</v>
      </c>
      <c r="F21" s="55" t="s">
        <v>7</v>
      </c>
      <c r="G21" s="55" t="s">
        <v>9</v>
      </c>
      <c r="H21" s="55" t="s">
        <v>11</v>
      </c>
      <c r="I21" s="55" t="s">
        <v>12</v>
      </c>
      <c r="J21" s="55" t="s">
        <v>42</v>
      </c>
      <c r="K21" s="55" t="s">
        <v>43</v>
      </c>
      <c r="L21" s="56" t="s">
        <v>15</v>
      </c>
    </row>
    <row r="22" ht="15.75" customHeight="1">
      <c r="A22" s="11" t="s">
        <v>24</v>
      </c>
      <c r="B22" s="12">
        <f>109988.17+465255.84</f>
        <v>575244.01</v>
      </c>
      <c r="C22" s="13">
        <f t="shared" ref="C22:C28" si="25">K22+H22</f>
        <v>344698.27</v>
      </c>
      <c r="D22" s="57">
        <f t="shared" ref="D22:D28" si="26">B22-C22</f>
        <v>230545.74</v>
      </c>
      <c r="E22" s="15">
        <f t="shared" ref="E22:E28" si="27">D22/B22*100</f>
        <v>40.07790364</v>
      </c>
      <c r="F22" s="16">
        <f t="shared" ref="F22:F28" si="28">D22/I22</f>
        <v>434.1727684</v>
      </c>
      <c r="G22" s="12">
        <f>495+91</f>
        <v>586</v>
      </c>
      <c r="H22" s="17">
        <f>365*I22</f>
        <v>193815</v>
      </c>
      <c r="I22" s="12">
        <f>447+84</f>
        <v>531</v>
      </c>
      <c r="J22" s="12">
        <f t="shared" ref="J22:J28" si="29">G22-I22</f>
        <v>55</v>
      </c>
      <c r="K22" s="12">
        <f>25192.17+125691.1 </f>
        <v>150883.27</v>
      </c>
      <c r="L22" s="58">
        <f t="shared" ref="L22:L28" si="30">J22/G22*100</f>
        <v>9.385665529</v>
      </c>
      <c r="M22" s="21">
        <f t="shared" ref="M22:M25" si="31">D22/I22</f>
        <v>434.1727684</v>
      </c>
    </row>
    <row r="23" ht="15.75" customHeight="1">
      <c r="A23" s="11" t="s">
        <v>25</v>
      </c>
      <c r="B23" s="12">
        <f>122968.64+69867.61</f>
        <v>192836.25</v>
      </c>
      <c r="C23" s="13">
        <f t="shared" si="25"/>
        <v>124456.35</v>
      </c>
      <c r="D23" s="57">
        <f t="shared" si="26"/>
        <v>68379.9</v>
      </c>
      <c r="E23" s="15">
        <f t="shared" si="27"/>
        <v>35.46008595</v>
      </c>
      <c r="F23" s="16">
        <f t="shared" si="28"/>
        <v>488.4278571</v>
      </c>
      <c r="G23" s="12">
        <f>111+58</f>
        <v>169</v>
      </c>
      <c r="H23" s="17">
        <f>445*I23</f>
        <v>62300</v>
      </c>
      <c r="I23" s="12">
        <f>91+49</f>
        <v>140</v>
      </c>
      <c r="J23" s="12">
        <f t="shared" si="29"/>
        <v>29</v>
      </c>
      <c r="K23" s="12">
        <f>16805.04 +45351.31 
</f>
        <v>62156.35</v>
      </c>
      <c r="L23" s="58">
        <f t="shared" si="30"/>
        <v>17.15976331</v>
      </c>
      <c r="M23" s="21">
        <f t="shared" si="31"/>
        <v>488.4278571</v>
      </c>
      <c r="N23" s="21">
        <f>K23/I23</f>
        <v>443.9739286</v>
      </c>
    </row>
    <row r="24" ht="15.75" customHeight="1">
      <c r="A24" s="11" t="s">
        <v>26</v>
      </c>
      <c r="B24" s="12">
        <f>1999+95427.08</f>
        <v>97426.08</v>
      </c>
      <c r="C24" s="13">
        <f t="shared" si="25"/>
        <v>98614.72</v>
      </c>
      <c r="D24" s="57">
        <f t="shared" si="26"/>
        <v>-1188.64</v>
      </c>
      <c r="E24" s="15">
        <f t="shared" si="27"/>
        <v>-1.220042929</v>
      </c>
      <c r="F24" s="16">
        <f t="shared" si="28"/>
        <v>-17.22666667</v>
      </c>
      <c r="G24" s="12">
        <v>79.0</v>
      </c>
      <c r="H24" s="17">
        <f>980*I24</f>
        <v>67620</v>
      </c>
      <c r="I24" s="12">
        <v>69.0</v>
      </c>
      <c r="J24" s="12">
        <f t="shared" si="29"/>
        <v>10</v>
      </c>
      <c r="K24" s="12">
        <f>29728.32+1266.4 
</f>
        <v>30994.72</v>
      </c>
      <c r="L24" s="58">
        <f t="shared" si="30"/>
        <v>12.65822785</v>
      </c>
      <c r="M24" s="21">
        <f t="shared" si="31"/>
        <v>-17.22666667</v>
      </c>
    </row>
    <row r="25" ht="15.75" customHeight="1">
      <c r="A25" s="11" t="s">
        <v>27</v>
      </c>
      <c r="B25" s="12">
        <f>375603.24+48584.2</f>
        <v>424187.44</v>
      </c>
      <c r="C25" s="13">
        <f t="shared" si="25"/>
        <v>297322.85</v>
      </c>
      <c r="D25" s="57">
        <f t="shared" si="26"/>
        <v>126864.59</v>
      </c>
      <c r="E25" s="15">
        <f t="shared" si="27"/>
        <v>29.90767242</v>
      </c>
      <c r="F25" s="16">
        <f t="shared" si="28"/>
        <v>181.7544269</v>
      </c>
      <c r="G25" s="12">
        <f>86+670</f>
        <v>756</v>
      </c>
      <c r="H25" s="17">
        <f>270*I25</f>
        <v>188460</v>
      </c>
      <c r="I25" s="12">
        <f>627+71</f>
        <v>698</v>
      </c>
      <c r="J25" s="12">
        <f t="shared" si="29"/>
        <v>58</v>
      </c>
      <c r="K25" s="12">
        <f>100169.55+8693.3</f>
        <v>108862.85</v>
      </c>
      <c r="L25" s="58">
        <f t="shared" si="30"/>
        <v>7.671957672</v>
      </c>
      <c r="M25" s="21">
        <f t="shared" si="31"/>
        <v>181.7544269</v>
      </c>
    </row>
    <row r="26" ht="15.75" customHeight="1">
      <c r="A26" s="11" t="s">
        <v>28</v>
      </c>
      <c r="B26" s="12">
        <f>206722.08</f>
        <v>206722.08</v>
      </c>
      <c r="C26" s="13">
        <f t="shared" si="25"/>
        <v>125694.2</v>
      </c>
      <c r="D26" s="57">
        <f t="shared" si="26"/>
        <v>81027.88</v>
      </c>
      <c r="E26" s="15">
        <f t="shared" si="27"/>
        <v>39.19652898</v>
      </c>
      <c r="F26" s="16">
        <f t="shared" si="28"/>
        <v>419.8335751</v>
      </c>
      <c r="G26" s="12">
        <v>220.0</v>
      </c>
      <c r="H26" s="17">
        <f>415*I26</f>
        <v>80095</v>
      </c>
      <c r="I26" s="12">
        <v>193.0</v>
      </c>
      <c r="J26" s="12">
        <f t="shared" si="29"/>
        <v>27</v>
      </c>
      <c r="K26" s="12">
        <f>45599.2</f>
        <v>45599.2</v>
      </c>
      <c r="L26" s="58">
        <f t="shared" si="30"/>
        <v>12.27272727</v>
      </c>
    </row>
    <row r="27" ht="15.75" customHeight="1">
      <c r="A27" s="11" t="s">
        <v>29</v>
      </c>
      <c r="B27" s="12">
        <f>152057.23+22458.07</f>
        <v>174515.3</v>
      </c>
      <c r="C27" s="13">
        <f t="shared" si="25"/>
        <v>94267.31</v>
      </c>
      <c r="D27" s="57">
        <f t="shared" si="26"/>
        <v>80247.99</v>
      </c>
      <c r="E27" s="15">
        <f t="shared" si="27"/>
        <v>45.98335504</v>
      </c>
      <c r="F27" s="16">
        <f t="shared" si="28"/>
        <v>703.9297368</v>
      </c>
      <c r="G27" s="12">
        <f>112+25</f>
        <v>137</v>
      </c>
      <c r="H27" s="17">
        <f>410*I27</f>
        <v>46740</v>
      </c>
      <c r="I27" s="12">
        <f>14+100</f>
        <v>114</v>
      </c>
      <c r="J27" s="12">
        <f t="shared" si="29"/>
        <v>23</v>
      </c>
      <c r="K27" s="12">
        <f>11259.36 +36267.95 
</f>
        <v>47527.31</v>
      </c>
      <c r="L27" s="58">
        <f t="shared" si="30"/>
        <v>16.78832117</v>
      </c>
    </row>
    <row r="28" ht="15.75" customHeight="1">
      <c r="A28" s="11" t="s">
        <v>30</v>
      </c>
      <c r="B28" s="12">
        <f>173748.96</f>
        <v>173748.96</v>
      </c>
      <c r="C28" s="13">
        <f t="shared" si="25"/>
        <v>88394.22</v>
      </c>
      <c r="D28" s="57">
        <f t="shared" si="26"/>
        <v>85354.74</v>
      </c>
      <c r="E28" s="15">
        <f t="shared" si="27"/>
        <v>49.12532426</v>
      </c>
      <c r="F28" s="16">
        <f t="shared" si="28"/>
        <v>828.6867961</v>
      </c>
      <c r="G28" s="12">
        <v>122.0</v>
      </c>
      <c r="H28" s="17">
        <f>560*I28</f>
        <v>57680</v>
      </c>
      <c r="I28" s="12">
        <v>103.0</v>
      </c>
      <c r="J28" s="12">
        <f t="shared" si="29"/>
        <v>19</v>
      </c>
      <c r="K28" s="12">
        <f>30714.22</f>
        <v>30714.22</v>
      </c>
      <c r="L28" s="58">
        <f t="shared" si="30"/>
        <v>15.57377049</v>
      </c>
    </row>
    <row r="29" ht="15.75" customHeight="1">
      <c r="I29" s="21">
        <f>SUM(I22:I28)</f>
        <v>1848</v>
      </c>
    </row>
    <row r="30" ht="15.75" customHeight="1">
      <c r="A30" s="23"/>
      <c r="B30" s="24"/>
      <c r="J30" s="21" t="s">
        <v>8</v>
      </c>
      <c r="K30" s="21" t="s">
        <v>43</v>
      </c>
    </row>
    <row r="31" ht="15.75" customHeight="1">
      <c r="A31" s="23"/>
      <c r="B31" s="24"/>
      <c r="J31" s="21">
        <f>214089</f>
        <v>214089</v>
      </c>
      <c r="K31" s="21">
        <f>sum(K22:K28)-J31</f>
        <v>262648.92</v>
      </c>
    </row>
    <row r="32" ht="15.75" customHeight="1">
      <c r="A32" s="23"/>
      <c r="B32" s="24"/>
    </row>
    <row r="33" ht="15.75" customHeight="1">
      <c r="A33" s="23"/>
      <c r="B33" s="26"/>
    </row>
    <row r="34" ht="15.75" customHeight="1"/>
    <row r="35" ht="15.75" customHeight="1">
      <c r="A35" s="3"/>
      <c r="B35" s="45"/>
    </row>
    <row r="36" ht="15.75" customHeight="1">
      <c r="A36" s="3"/>
      <c r="B36" s="45"/>
    </row>
    <row r="37" ht="15.75" customHeight="1">
      <c r="A37" s="3"/>
      <c r="B37" s="45"/>
    </row>
    <row r="38" ht="15.75" customHeight="1">
      <c r="A38" s="3"/>
      <c r="B38" s="45"/>
    </row>
    <row r="39" ht="15.75" customHeight="1">
      <c r="A39" s="3"/>
      <c r="B39" s="45"/>
    </row>
    <row r="40" ht="15.75" customHeight="1">
      <c r="A40" s="46"/>
      <c r="B40" s="47"/>
    </row>
    <row r="41" ht="15.75" customHeight="1">
      <c r="A41" s="3"/>
      <c r="B41" s="45"/>
    </row>
    <row r="42" ht="15.75" customHeight="1">
      <c r="A42" s="46"/>
      <c r="B42" s="47"/>
    </row>
    <row r="43" ht="15.75" customHeight="1">
      <c r="A43" s="64"/>
      <c r="B43" s="65"/>
    </row>
    <row r="44" ht="15.75" customHeight="1">
      <c r="A44" s="64"/>
      <c r="B44" s="65"/>
    </row>
    <row r="45" ht="15.75" customHeight="1">
      <c r="A45" s="64"/>
      <c r="B45" s="65"/>
    </row>
    <row r="46" ht="15.75" customHeight="1">
      <c r="A46" s="64"/>
      <c r="B46" s="65"/>
    </row>
    <row r="47" ht="15.75" customHeight="1">
      <c r="A47" s="64"/>
      <c r="B47" s="6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11" max="11" width="14.63"/>
  </cols>
  <sheetData>
    <row r="1" ht="15.75" customHeight="1">
      <c r="A1" s="1" t="s">
        <v>46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4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5.75" customHeight="1">
      <c r="A4" s="7" t="s">
        <v>2</v>
      </c>
      <c r="B4" s="8" t="s">
        <v>3</v>
      </c>
      <c r="C4" s="8" t="s">
        <v>4</v>
      </c>
      <c r="D4" s="8" t="s">
        <v>5</v>
      </c>
      <c r="E4" s="9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9" t="s">
        <v>15</v>
      </c>
      <c r="O4" s="9" t="s">
        <v>16</v>
      </c>
      <c r="P4" s="9" t="s">
        <v>17</v>
      </c>
      <c r="Q4" s="8" t="s">
        <v>18</v>
      </c>
      <c r="R4" s="10" t="s">
        <v>19</v>
      </c>
      <c r="S4" s="9" t="s">
        <v>20</v>
      </c>
      <c r="T4" s="9" t="s">
        <v>21</v>
      </c>
      <c r="U4" s="8" t="s">
        <v>22</v>
      </c>
      <c r="V4" s="8" t="s">
        <v>23</v>
      </c>
    </row>
    <row r="5" ht="15.75" customHeight="1">
      <c r="A5" s="11" t="s">
        <v>24</v>
      </c>
      <c r="B5" s="12">
        <v>313766.0</v>
      </c>
      <c r="C5" s="13">
        <f t="shared" ref="C5:C10" si="1">G5+J5+M5</f>
        <v>320573.44</v>
      </c>
      <c r="D5" s="14">
        <f t="shared" ref="D5:D10" si="2">B5-C5</f>
        <v>-6807.44</v>
      </c>
      <c r="E5" s="15">
        <f t="shared" ref="E5:E6" si="3">D5/B5*100</f>
        <v>-2.169591352</v>
      </c>
      <c r="F5" s="16">
        <f t="shared" ref="F5:F6" si="4">D5/K5</f>
        <v>-22.17407166</v>
      </c>
      <c r="G5" s="12">
        <f>143158*1.18</f>
        <v>168926.44</v>
      </c>
      <c r="H5" s="12">
        <v>412.0</v>
      </c>
      <c r="I5" s="12">
        <v>404.0</v>
      </c>
      <c r="J5" s="17">
        <f>365*K5</f>
        <v>112055</v>
      </c>
      <c r="K5" s="12">
        <v>307.0</v>
      </c>
      <c r="L5" s="12">
        <f t="shared" ref="L5:L10" si="5">I5-K5</f>
        <v>97</v>
      </c>
      <c r="M5" s="12">
        <f t="shared" ref="M5:M10" si="6">I5*98</f>
        <v>39592</v>
      </c>
      <c r="N5" s="18">
        <f t="shared" ref="N5:N6" si="7">L5/I5*100</f>
        <v>24.00990099</v>
      </c>
      <c r="O5" s="19">
        <f t="shared" ref="O5:O6" si="8">I5/H5*100</f>
        <v>98.05825243</v>
      </c>
      <c r="P5" s="20">
        <f t="shared" ref="P5:P6" si="9">K5/I5*100</f>
        <v>75.99009901</v>
      </c>
      <c r="Q5" s="12">
        <v>0.0</v>
      </c>
      <c r="R5" s="12">
        <v>71228.0</v>
      </c>
      <c r="S5" s="16">
        <f t="shared" ref="S5:S6" si="10">G5/H5</f>
        <v>410.0156311</v>
      </c>
      <c r="T5" s="16">
        <f t="shared" ref="T5:T6" si="11">G5/I5</f>
        <v>418.1347525</v>
      </c>
      <c r="U5" s="16">
        <f t="shared" ref="U5:U6" si="12">G5/K5</f>
        <v>550.2489902</v>
      </c>
      <c r="V5" s="16">
        <f t="shared" ref="V5:V6" si="13">100-O5</f>
        <v>1.941747573</v>
      </c>
    </row>
    <row r="6" ht="15.75" customHeight="1">
      <c r="A6" s="11" t="s">
        <v>25</v>
      </c>
      <c r="B6" s="12">
        <v>257834.0</v>
      </c>
      <c r="C6" s="13">
        <f t="shared" si="1"/>
        <v>252010.72</v>
      </c>
      <c r="D6" s="14">
        <f t="shared" si="2"/>
        <v>5823.28</v>
      </c>
      <c r="E6" s="15">
        <f t="shared" si="3"/>
        <v>2.258538439</v>
      </c>
      <c r="F6" s="16">
        <f t="shared" si="4"/>
        <v>25.10034483</v>
      </c>
      <c r="G6" s="12">
        <f>103404*1.18</f>
        <v>122016.72</v>
      </c>
      <c r="H6" s="12">
        <v>279.0</v>
      </c>
      <c r="I6" s="12">
        <v>273.0</v>
      </c>
      <c r="J6" s="17">
        <f>445*K6</f>
        <v>103240</v>
      </c>
      <c r="K6" s="12">
        <v>232.0</v>
      </c>
      <c r="L6" s="12">
        <f t="shared" si="5"/>
        <v>41</v>
      </c>
      <c r="M6" s="12">
        <f t="shared" si="6"/>
        <v>26754</v>
      </c>
      <c r="N6" s="18">
        <f t="shared" si="7"/>
        <v>15.01831502</v>
      </c>
      <c r="O6" s="19">
        <f t="shared" si="8"/>
        <v>97.84946237</v>
      </c>
      <c r="P6" s="20">
        <f t="shared" si="9"/>
        <v>84.98168498</v>
      </c>
      <c r="Q6" s="12">
        <v>24.0</v>
      </c>
      <c r="R6" s="12">
        <v>29921.0</v>
      </c>
      <c r="S6" s="16">
        <f t="shared" si="10"/>
        <v>437.335914</v>
      </c>
      <c r="T6" s="16">
        <f t="shared" si="11"/>
        <v>446.9476923</v>
      </c>
      <c r="U6" s="16">
        <f t="shared" si="12"/>
        <v>525.9341379</v>
      </c>
      <c r="V6" s="16">
        <f t="shared" si="13"/>
        <v>2.150537634</v>
      </c>
    </row>
    <row r="7" ht="15.75" customHeight="1">
      <c r="A7" s="11" t="s">
        <v>26</v>
      </c>
      <c r="B7" s="12">
        <v>0.0</v>
      </c>
      <c r="C7" s="13">
        <f t="shared" si="1"/>
        <v>0</v>
      </c>
      <c r="D7" s="14">
        <f t="shared" si="2"/>
        <v>0</v>
      </c>
      <c r="E7" s="15"/>
      <c r="F7" s="16"/>
      <c r="G7" s="12">
        <v>0.0</v>
      </c>
      <c r="H7" s="12">
        <v>0.0</v>
      </c>
      <c r="I7" s="12">
        <v>0.0</v>
      </c>
      <c r="J7" s="17">
        <v>0.0</v>
      </c>
      <c r="K7" s="12">
        <v>0.0</v>
      </c>
      <c r="L7" s="12">
        <f t="shared" si="5"/>
        <v>0</v>
      </c>
      <c r="M7" s="12">
        <f t="shared" si="6"/>
        <v>0</v>
      </c>
      <c r="N7" s="18"/>
      <c r="O7" s="19"/>
      <c r="P7" s="20"/>
      <c r="Q7" s="12">
        <v>0.0</v>
      </c>
      <c r="R7" s="12">
        <v>0.0</v>
      </c>
      <c r="S7" s="16"/>
      <c r="T7" s="16"/>
      <c r="U7" s="16"/>
      <c r="V7" s="16"/>
    </row>
    <row r="8" ht="15.75" customHeight="1">
      <c r="A8" s="11" t="s">
        <v>27</v>
      </c>
      <c r="B8" s="12">
        <v>26874.0</v>
      </c>
      <c r="C8" s="13">
        <f t="shared" si="1"/>
        <v>18056</v>
      </c>
      <c r="D8" s="14">
        <f t="shared" si="2"/>
        <v>8818</v>
      </c>
      <c r="E8" s="15">
        <f t="shared" ref="E8:E10" si="14">D8/B8*100</f>
        <v>32.81238372</v>
      </c>
      <c r="F8" s="16">
        <f t="shared" ref="F8:F10" si="15">D8/K8</f>
        <v>183.7083333</v>
      </c>
      <c r="G8" s="12">
        <v>0.0</v>
      </c>
      <c r="H8" s="12">
        <v>64.0</v>
      </c>
      <c r="I8" s="12">
        <v>52.0</v>
      </c>
      <c r="J8" s="17">
        <f>270*K8</f>
        <v>12960</v>
      </c>
      <c r="K8" s="12">
        <v>48.0</v>
      </c>
      <c r="L8" s="12">
        <f t="shared" si="5"/>
        <v>4</v>
      </c>
      <c r="M8" s="12">
        <f t="shared" si="6"/>
        <v>5096</v>
      </c>
      <c r="N8" s="18">
        <f t="shared" ref="N8:N10" si="16">L8/I8*100</f>
        <v>7.692307692</v>
      </c>
      <c r="O8" s="19">
        <f t="shared" ref="O8:O10" si="17">I8/H8*100</f>
        <v>81.25</v>
      </c>
      <c r="P8" s="20">
        <f t="shared" ref="P8:P10" si="18">K8/I8*100</f>
        <v>92.30769231</v>
      </c>
      <c r="Q8" s="12">
        <v>3.0</v>
      </c>
      <c r="R8" s="12">
        <v>1400.0</v>
      </c>
      <c r="S8" s="16">
        <f t="shared" ref="S8:S10" si="19">G8/H8</f>
        <v>0</v>
      </c>
      <c r="T8" s="16">
        <f t="shared" ref="T8:T10" si="20">G8/I8</f>
        <v>0</v>
      </c>
      <c r="U8" s="16">
        <f t="shared" ref="U8:U10" si="21">G8/K8</f>
        <v>0</v>
      </c>
      <c r="V8" s="16">
        <f t="shared" ref="V8:V10" si="22">100-O8</f>
        <v>18.75</v>
      </c>
    </row>
    <row r="9" ht="15.75" customHeight="1">
      <c r="A9" s="11" t="s">
        <v>28</v>
      </c>
      <c r="B9" s="12">
        <v>7092.0</v>
      </c>
      <c r="C9" s="13">
        <f t="shared" si="1"/>
        <v>3752</v>
      </c>
      <c r="D9" s="14">
        <f t="shared" si="2"/>
        <v>3340</v>
      </c>
      <c r="E9" s="15">
        <f t="shared" si="14"/>
        <v>47.09531867</v>
      </c>
      <c r="F9" s="16">
        <f t="shared" si="15"/>
        <v>477.1428571</v>
      </c>
      <c r="G9" s="12">
        <v>0.0</v>
      </c>
      <c r="H9" s="12">
        <v>26.0</v>
      </c>
      <c r="I9" s="12">
        <v>9.0</v>
      </c>
      <c r="J9" s="17">
        <f>K9*410</f>
        <v>2870</v>
      </c>
      <c r="K9" s="12">
        <v>7.0</v>
      </c>
      <c r="L9" s="12">
        <f t="shared" si="5"/>
        <v>2</v>
      </c>
      <c r="M9" s="12">
        <f t="shared" si="6"/>
        <v>882</v>
      </c>
      <c r="N9" s="18">
        <f t="shared" si="16"/>
        <v>22.22222222</v>
      </c>
      <c r="O9" s="19">
        <f t="shared" si="17"/>
        <v>34.61538462</v>
      </c>
      <c r="P9" s="20">
        <f t="shared" si="18"/>
        <v>77.77777778</v>
      </c>
      <c r="Q9" s="12">
        <v>16.0</v>
      </c>
      <c r="R9" s="12">
        <v>18000.0</v>
      </c>
      <c r="S9" s="16">
        <f t="shared" si="19"/>
        <v>0</v>
      </c>
      <c r="T9" s="16">
        <f t="shared" si="20"/>
        <v>0</v>
      </c>
      <c r="U9" s="16">
        <f t="shared" si="21"/>
        <v>0</v>
      </c>
      <c r="V9" s="16">
        <f t="shared" si="22"/>
        <v>65.38461538</v>
      </c>
    </row>
    <row r="10" ht="15.75" customHeight="1">
      <c r="A10" s="11" t="s">
        <v>29</v>
      </c>
      <c r="B10" s="12">
        <v>111487.0</v>
      </c>
      <c r="C10" s="13">
        <f t="shared" si="1"/>
        <v>83569.32</v>
      </c>
      <c r="D10" s="14">
        <f t="shared" si="2"/>
        <v>27917.68</v>
      </c>
      <c r="E10" s="15">
        <f t="shared" si="14"/>
        <v>25.04119763</v>
      </c>
      <c r="F10" s="16">
        <f t="shared" si="15"/>
        <v>336.3575904</v>
      </c>
      <c r="G10" s="12">
        <f>33824*1.18</f>
        <v>39912.32</v>
      </c>
      <c r="H10" s="12">
        <v>106.0</v>
      </c>
      <c r="I10" s="12">
        <v>94.0</v>
      </c>
      <c r="J10" s="17">
        <f>K10*415</f>
        <v>34445</v>
      </c>
      <c r="K10" s="12">
        <v>83.0</v>
      </c>
      <c r="L10" s="12">
        <f t="shared" si="5"/>
        <v>11</v>
      </c>
      <c r="M10" s="12">
        <f t="shared" si="6"/>
        <v>9212</v>
      </c>
      <c r="N10" s="18">
        <f t="shared" si="16"/>
        <v>11.70212766</v>
      </c>
      <c r="O10" s="19">
        <f t="shared" si="17"/>
        <v>88.67924528</v>
      </c>
      <c r="P10" s="20">
        <f t="shared" si="18"/>
        <v>88.29787234</v>
      </c>
      <c r="Q10" s="12">
        <v>17.0</v>
      </c>
      <c r="R10" s="12">
        <v>23797.0</v>
      </c>
      <c r="S10" s="16">
        <f t="shared" si="19"/>
        <v>376.5313208</v>
      </c>
      <c r="T10" s="16">
        <f t="shared" si="20"/>
        <v>424.5991489</v>
      </c>
      <c r="U10" s="16">
        <f t="shared" si="21"/>
        <v>480.8713253</v>
      </c>
      <c r="V10" s="16">
        <f t="shared" si="22"/>
        <v>11.32075472</v>
      </c>
    </row>
    <row r="11" ht="15.75" customHeight="1">
      <c r="K11" s="21">
        <f>SUM(K5:K10)</f>
        <v>677</v>
      </c>
      <c r="R11" s="21">
        <f>SUM(R5:R10)</f>
        <v>144346</v>
      </c>
      <c r="U11" s="22">
        <f t="shared" ref="U11:V11" si="23">AVERAGE(U5:U10)</f>
        <v>311.4108907</v>
      </c>
      <c r="V11" s="22">
        <f t="shared" si="23"/>
        <v>19.90953106</v>
      </c>
    </row>
    <row r="12" ht="15.75" customHeight="1">
      <c r="A12" s="23" t="s">
        <v>32</v>
      </c>
      <c r="B12" s="24">
        <f>SUM(B4:B10)+R11</f>
        <v>861399</v>
      </c>
      <c r="D12" s="25" t="s">
        <v>33</v>
      </c>
      <c r="E12" s="25">
        <f>B12/SUM(H5:H10)</f>
        <v>971.1375423</v>
      </c>
      <c r="F12" s="21"/>
    </row>
    <row r="13" ht="15.75" customHeight="1">
      <c r="A13" s="23" t="s">
        <v>34</v>
      </c>
      <c r="B13" s="24">
        <f>SUM(C4:C10)</f>
        <v>677961.48</v>
      </c>
      <c r="D13" s="25" t="s">
        <v>22</v>
      </c>
      <c r="E13" s="25"/>
    </row>
    <row r="14" ht="15.75" customHeight="1">
      <c r="A14" s="23" t="s">
        <v>36</v>
      </c>
      <c r="B14" s="24">
        <f>SUM(D4:D10)</f>
        <v>39091.52</v>
      </c>
      <c r="D14" s="25" t="s">
        <v>37</v>
      </c>
      <c r="E14" s="25"/>
    </row>
    <row r="15" ht="15.75" customHeight="1">
      <c r="A15" s="23" t="s">
        <v>38</v>
      </c>
      <c r="B15" s="26">
        <f>B14/B12*100</f>
        <v>4.538143183</v>
      </c>
    </row>
    <row r="16" ht="15.75" customHeight="1"/>
    <row r="17" ht="15.75" customHeight="1"/>
    <row r="18" ht="15.75" customHeight="1"/>
    <row r="19" ht="15.75" customHeight="1">
      <c r="A19" s="54" t="s">
        <v>45</v>
      </c>
      <c r="B19" s="55" t="s">
        <v>3</v>
      </c>
      <c r="C19" s="55" t="s">
        <v>4</v>
      </c>
      <c r="D19" s="55" t="s">
        <v>5</v>
      </c>
      <c r="E19" s="56" t="s">
        <v>6</v>
      </c>
      <c r="F19" s="55" t="s">
        <v>7</v>
      </c>
      <c r="G19" s="55" t="s">
        <v>9</v>
      </c>
      <c r="H19" s="55" t="s">
        <v>11</v>
      </c>
      <c r="I19" s="55" t="s">
        <v>12</v>
      </c>
      <c r="J19" s="55" t="s">
        <v>42</v>
      </c>
      <c r="K19" s="55" t="s">
        <v>43</v>
      </c>
      <c r="L19" s="56" t="s">
        <v>15</v>
      </c>
    </row>
    <row r="20" ht="15.75" customHeight="1">
      <c r="A20" s="11" t="s">
        <v>24</v>
      </c>
      <c r="B20" s="12">
        <f>41862.81+805877.84</f>
        <v>847740.65</v>
      </c>
      <c r="C20" s="13">
        <f t="shared" ref="C20:C26" si="24">K20+H20</f>
        <v>536041.89</v>
      </c>
      <c r="D20" s="57">
        <f t="shared" ref="D20:D26" si="25">B20-C20</f>
        <v>311698.76</v>
      </c>
      <c r="E20" s="15">
        <f t="shared" ref="E20:E26" si="26">D20/B20*100</f>
        <v>36.76817432</v>
      </c>
      <c r="F20" s="16">
        <f t="shared" ref="F20:F26" si="27">D20/I20</f>
        <v>406.9174413</v>
      </c>
      <c r="G20" s="12">
        <f>811+48</f>
        <v>859</v>
      </c>
      <c r="H20" s="17">
        <f>365*I20</f>
        <v>279590</v>
      </c>
      <c r="I20" s="12">
        <f>41+725</f>
        <v>766</v>
      </c>
      <c r="J20" s="12">
        <f t="shared" ref="J20:J26" si="28">G20-I20</f>
        <v>93</v>
      </c>
      <c r="K20" s="12">
        <f>247655.14+8796.75</f>
        <v>256451.89</v>
      </c>
      <c r="L20" s="58">
        <f t="shared" ref="L20:L26" si="29">J20/G20*100</f>
        <v>10.82654249</v>
      </c>
      <c r="M20" s="21">
        <f t="shared" ref="M20:M23" si="30">D20/I20</f>
        <v>406.9174413</v>
      </c>
    </row>
    <row r="21" ht="15.75" customHeight="1">
      <c r="A21" s="11" t="s">
        <v>25</v>
      </c>
      <c r="B21" s="12">
        <f>653812.35+45347.58</f>
        <v>699159.93</v>
      </c>
      <c r="C21" s="13">
        <f t="shared" si="24"/>
        <v>381631.27</v>
      </c>
      <c r="D21" s="57">
        <f t="shared" si="25"/>
        <v>317528.66</v>
      </c>
      <c r="E21" s="15">
        <f t="shared" si="26"/>
        <v>45.41574057</v>
      </c>
      <c r="F21" s="16">
        <f t="shared" si="27"/>
        <v>579.4318613</v>
      </c>
      <c r="G21" s="12">
        <f>37+550</f>
        <v>587</v>
      </c>
      <c r="H21" s="17">
        <f>445*I21</f>
        <v>243860</v>
      </c>
      <c r="I21" s="12">
        <f>515+33</f>
        <v>548</v>
      </c>
      <c r="J21" s="12">
        <f t="shared" si="28"/>
        <v>39</v>
      </c>
      <c r="K21" s="12">
        <f>10738.71 +127032.56
</f>
        <v>137771.27</v>
      </c>
      <c r="L21" s="58">
        <f t="shared" si="29"/>
        <v>6.6439523</v>
      </c>
      <c r="M21" s="21">
        <f t="shared" si="30"/>
        <v>579.4318613</v>
      </c>
    </row>
    <row r="22" ht="15.75" customHeight="1">
      <c r="A22" s="11" t="s">
        <v>26</v>
      </c>
      <c r="B22" s="12">
        <f>45953.22</f>
        <v>45953.22</v>
      </c>
      <c r="C22" s="13">
        <f t="shared" si="24"/>
        <v>55746.26</v>
      </c>
      <c r="D22" s="57">
        <f t="shared" si="25"/>
        <v>-9793.04</v>
      </c>
      <c r="E22" s="15">
        <f t="shared" si="26"/>
        <v>-21.31088964</v>
      </c>
      <c r="F22" s="16">
        <f t="shared" si="27"/>
        <v>-349.7514286</v>
      </c>
      <c r="G22" s="12">
        <v>48.0</v>
      </c>
      <c r="H22" s="17">
        <f>980*I22</f>
        <v>27440</v>
      </c>
      <c r="I22" s="12">
        <v>28.0</v>
      </c>
      <c r="J22" s="12">
        <f t="shared" si="28"/>
        <v>20</v>
      </c>
      <c r="K22" s="12">
        <f>28306.26 </f>
        <v>28306.26</v>
      </c>
      <c r="L22" s="58">
        <f t="shared" si="29"/>
        <v>41.66666667</v>
      </c>
      <c r="M22" s="21">
        <f t="shared" si="30"/>
        <v>-349.7514286</v>
      </c>
    </row>
    <row r="23" ht="15.75" customHeight="1">
      <c r="A23" s="11" t="s">
        <v>27</v>
      </c>
      <c r="B23" s="12">
        <f>677060.56+2728.12</f>
        <v>679788.68</v>
      </c>
      <c r="C23" s="13">
        <f t="shared" si="24"/>
        <v>486706.57</v>
      </c>
      <c r="D23" s="57">
        <f t="shared" si="25"/>
        <v>193082.11</v>
      </c>
      <c r="E23" s="15">
        <f t="shared" si="26"/>
        <v>28.40325467</v>
      </c>
      <c r="F23" s="16">
        <f t="shared" si="27"/>
        <v>175.051777</v>
      </c>
      <c r="G23" s="12">
        <f>1207+9</f>
        <v>1216</v>
      </c>
      <c r="H23" s="17">
        <f>270*I23</f>
        <v>297810</v>
      </c>
      <c r="I23" s="12">
        <f>7+1096</f>
        <v>1103</v>
      </c>
      <c r="J23" s="12">
        <f t="shared" si="28"/>
        <v>113</v>
      </c>
      <c r="K23" s="12">
        <f>187166.04+1730.53</f>
        <v>188896.57</v>
      </c>
      <c r="L23" s="58">
        <f t="shared" si="29"/>
        <v>9.292763158</v>
      </c>
      <c r="M23" s="21">
        <f t="shared" si="30"/>
        <v>175.051777</v>
      </c>
    </row>
    <row r="24" ht="15.75" customHeight="1">
      <c r="A24" s="11" t="s">
        <v>28</v>
      </c>
      <c r="B24" s="12">
        <f>1199+147698.9</f>
        <v>148897.9</v>
      </c>
      <c r="C24" s="13">
        <f t="shared" si="24"/>
        <v>96308.72</v>
      </c>
      <c r="D24" s="57">
        <f t="shared" si="25"/>
        <v>52589.18</v>
      </c>
      <c r="E24" s="15">
        <f t="shared" si="26"/>
        <v>35.31895346</v>
      </c>
      <c r="F24" s="16">
        <f t="shared" si="27"/>
        <v>381.0810145</v>
      </c>
      <c r="G24" s="12">
        <v>157.0</v>
      </c>
      <c r="H24" s="17">
        <f>415*I24</f>
        <v>57270</v>
      </c>
      <c r="I24" s="12">
        <v>138.0</v>
      </c>
      <c r="J24" s="12">
        <f t="shared" si="28"/>
        <v>19</v>
      </c>
      <c r="K24" s="12">
        <f>38471.11 +567.61 
</f>
        <v>39038.72</v>
      </c>
      <c r="L24" s="58">
        <f t="shared" si="29"/>
        <v>12.10191083</v>
      </c>
    </row>
    <row r="25" ht="15.75" customHeight="1">
      <c r="A25" s="11" t="s">
        <v>29</v>
      </c>
      <c r="B25" s="12">
        <f>160479.93+54845.48</f>
        <v>215325.41</v>
      </c>
      <c r="C25" s="13">
        <f t="shared" si="24"/>
        <v>121804.56</v>
      </c>
      <c r="D25" s="57">
        <f t="shared" si="25"/>
        <v>93520.85</v>
      </c>
      <c r="E25" s="15">
        <f t="shared" si="26"/>
        <v>43.43233342</v>
      </c>
      <c r="F25" s="16">
        <f t="shared" si="27"/>
        <v>595.6742038</v>
      </c>
      <c r="G25" s="12">
        <f>47+133</f>
        <v>180</v>
      </c>
      <c r="H25" s="17">
        <f>410*I25</f>
        <v>64370</v>
      </c>
      <c r="I25" s="12">
        <f>117+40</f>
        <v>157</v>
      </c>
      <c r="J25" s="12">
        <f t="shared" si="28"/>
        <v>23</v>
      </c>
      <c r="K25" s="12">
        <f>17529.49+39905.07</f>
        <v>57434.56</v>
      </c>
      <c r="L25" s="58">
        <f t="shared" si="29"/>
        <v>12.77777778</v>
      </c>
    </row>
    <row r="26" ht="15.75" customHeight="1">
      <c r="A26" s="11" t="s">
        <v>30</v>
      </c>
      <c r="B26" s="12">
        <f>59920.05</f>
        <v>59920.05</v>
      </c>
      <c r="C26" s="13">
        <f t="shared" si="24"/>
        <v>33594.55</v>
      </c>
      <c r="D26" s="57">
        <f t="shared" si="25"/>
        <v>26325.5</v>
      </c>
      <c r="E26" s="15">
        <f t="shared" si="26"/>
        <v>43.93437589</v>
      </c>
      <c r="F26" s="16">
        <f t="shared" si="27"/>
        <v>692.7763158</v>
      </c>
      <c r="G26" s="12">
        <v>43.0</v>
      </c>
      <c r="H26" s="17">
        <f>560*I26</f>
        <v>21280</v>
      </c>
      <c r="I26" s="12">
        <v>38.0</v>
      </c>
      <c r="J26" s="12">
        <f t="shared" si="28"/>
        <v>5</v>
      </c>
      <c r="K26" s="12">
        <f> 12314.55</f>
        <v>12314.55</v>
      </c>
      <c r="L26" s="58">
        <f t="shared" si="29"/>
        <v>11.62790698</v>
      </c>
    </row>
    <row r="27" ht="15.75" customHeight="1">
      <c r="I27" s="21">
        <f>SUM(I20:I26)</f>
        <v>2778</v>
      </c>
    </row>
    <row r="28" ht="15.75" customHeight="1">
      <c r="A28" s="23" t="s">
        <v>32</v>
      </c>
      <c r="B28" s="24">
        <f>SUM(B19:B26)</f>
        <v>2696785.84</v>
      </c>
      <c r="D28" s="25" t="s">
        <v>33</v>
      </c>
      <c r="E28" s="25">
        <f>B28/SUM(G20:G26)</f>
        <v>872.7462265</v>
      </c>
      <c r="J28" s="21" t="s">
        <v>8</v>
      </c>
      <c r="K28" s="21" t="s">
        <v>43</v>
      </c>
    </row>
    <row r="29" ht="15.75" customHeight="1">
      <c r="A29" s="23" t="s">
        <v>34</v>
      </c>
      <c r="B29" s="24">
        <f>SUM(C19:C26)</f>
        <v>1711833.82</v>
      </c>
      <c r="D29" s="25" t="s">
        <v>22</v>
      </c>
      <c r="E29" s="25"/>
      <c r="J29" s="21">
        <f>375831</f>
        <v>375831</v>
      </c>
      <c r="K29" s="21">
        <f>sum(K20:K26)-J29</f>
        <v>344382.82</v>
      </c>
    </row>
    <row r="30" ht="15.75" customHeight="1">
      <c r="A30" s="23" t="s">
        <v>36</v>
      </c>
      <c r="B30" s="24">
        <f>SUM(D19:D26)</f>
        <v>984952.02</v>
      </c>
      <c r="D30" s="25" t="s">
        <v>37</v>
      </c>
      <c r="E30" s="25"/>
    </row>
    <row r="31" ht="15.75" customHeight="1">
      <c r="A31" s="23" t="s">
        <v>38</v>
      </c>
      <c r="B31" s="26">
        <f>B30/B28*100</f>
        <v>36.52318272</v>
      </c>
    </row>
    <row r="32" ht="15.75" customHeight="1"/>
    <row r="33" ht="15.75" customHeight="1"/>
    <row r="34" ht="15.75" customHeight="1">
      <c r="A34" s="3"/>
      <c r="B34" s="45"/>
    </row>
    <row r="35" ht="15.75" customHeight="1">
      <c r="A35" s="3"/>
      <c r="B35" s="45"/>
    </row>
    <row r="36" ht="15.75" customHeight="1">
      <c r="A36" s="3"/>
      <c r="B36" s="45"/>
    </row>
    <row r="37" ht="15.75" customHeight="1">
      <c r="A37" s="3"/>
      <c r="B37" s="45"/>
    </row>
    <row r="38" ht="15.75" customHeight="1">
      <c r="A38" s="3"/>
      <c r="B38" s="45"/>
    </row>
    <row r="39" ht="15.75" customHeight="1">
      <c r="A39" s="46"/>
      <c r="B39" s="47"/>
    </row>
    <row r="40" ht="15.75" customHeight="1"/>
    <row r="41" ht="15.75" customHeight="1"/>
    <row r="42" ht="15.75" customHeight="1">
      <c r="A42" s="64"/>
      <c r="B42" s="49"/>
    </row>
    <row r="43" ht="15.75" customHeight="1">
      <c r="A43" s="64"/>
      <c r="B43" s="49"/>
    </row>
    <row r="44" ht="15.75" customHeight="1">
      <c r="A44" s="64"/>
      <c r="B44" s="49"/>
    </row>
    <row r="45" ht="15.75" customHeight="1">
      <c r="A45" s="64"/>
      <c r="B45" s="49"/>
    </row>
    <row r="46" ht="15.75" customHeight="1">
      <c r="A46" s="64"/>
      <c r="B46" s="4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11" max="11" width="14.63"/>
  </cols>
  <sheetData>
    <row r="1" ht="15.75" customHeight="1">
      <c r="A1" s="66" t="s">
        <v>47</v>
      </c>
      <c r="B1" s="67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7" t="s">
        <v>2</v>
      </c>
      <c r="B3" s="29" t="s">
        <v>3</v>
      </c>
      <c r="C3" s="29" t="s">
        <v>4</v>
      </c>
      <c r="D3" s="29" t="s">
        <v>5</v>
      </c>
      <c r="E3" s="30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14</v>
      </c>
      <c r="M3" s="29" t="s">
        <v>13</v>
      </c>
      <c r="N3" s="30" t="s">
        <v>15</v>
      </c>
      <c r="O3" s="30" t="s">
        <v>16</v>
      </c>
      <c r="P3" s="30" t="s">
        <v>17</v>
      </c>
      <c r="Q3" s="30" t="s">
        <v>20</v>
      </c>
      <c r="R3" s="30" t="s">
        <v>21</v>
      </c>
      <c r="S3" s="29" t="s">
        <v>22</v>
      </c>
      <c r="T3" s="29" t="s">
        <v>23</v>
      </c>
    </row>
    <row r="4" ht="15.75" customHeight="1">
      <c r="A4" s="7" t="s">
        <v>24</v>
      </c>
      <c r="B4" s="68">
        <f>159805+4517</f>
        <v>164322</v>
      </c>
      <c r="C4" s="32">
        <f t="shared" ref="C4:C10" si="1">G4+J4+L4</f>
        <v>141266.36</v>
      </c>
      <c r="D4" s="33">
        <f t="shared" ref="D4:D10" si="2">B4-C4</f>
        <v>23055.64</v>
      </c>
      <c r="E4" s="34">
        <f t="shared" ref="E4:E10" si="3">D4/B4*100</f>
        <v>14.03076886</v>
      </c>
      <c r="F4" s="35">
        <f t="shared" ref="F4:F10" si="4">D4/K4</f>
        <v>157.9153425</v>
      </c>
      <c r="G4" s="68">
        <f>61102*1.18</f>
        <v>72100.36</v>
      </c>
      <c r="H4" s="68">
        <v>175.0</v>
      </c>
      <c r="I4" s="68">
        <v>162.0</v>
      </c>
      <c r="J4" s="36">
        <f>365*K4</f>
        <v>53290</v>
      </c>
      <c r="K4" s="68">
        <v>146.0</v>
      </c>
      <c r="L4" s="69">
        <f t="shared" ref="L4:L10" si="5">I4*98</f>
        <v>15876</v>
      </c>
      <c r="M4" s="68">
        <f t="shared" ref="M4:M10" si="6">I4-K4</f>
        <v>16</v>
      </c>
      <c r="N4" s="39">
        <f t="shared" ref="N4:N10" si="7">M4/I4*100</f>
        <v>9.87654321</v>
      </c>
      <c r="O4" s="70">
        <f t="shared" ref="O4:O10" si="8">I4/H4*100</f>
        <v>92.57142857</v>
      </c>
      <c r="P4" s="40">
        <f t="shared" ref="P4:P10" si="9">K4/I4*100</f>
        <v>90.12345679</v>
      </c>
      <c r="Q4" s="35">
        <f t="shared" ref="Q4:Q10" si="10">G4/H4</f>
        <v>412.0020571</v>
      </c>
      <c r="R4" s="35">
        <f t="shared" ref="R4:R10" si="11">G4/I4</f>
        <v>445.0639506</v>
      </c>
      <c r="S4" s="35">
        <f t="shared" ref="S4:S10" si="12">G4/K4</f>
        <v>493.8380822</v>
      </c>
      <c r="T4" s="35">
        <f t="shared" ref="T4:T10" si="13">100-O4</f>
        <v>7.428571429</v>
      </c>
    </row>
    <row r="5" ht="15.75" customHeight="1">
      <c r="A5" s="7" t="s">
        <v>25</v>
      </c>
      <c r="B5" s="68">
        <v>381789.0</v>
      </c>
      <c r="C5" s="32">
        <f t="shared" si="1"/>
        <v>328687.74</v>
      </c>
      <c r="D5" s="33">
        <f t="shared" si="2"/>
        <v>53101.26</v>
      </c>
      <c r="E5" s="34">
        <f t="shared" si="3"/>
        <v>13.90853587</v>
      </c>
      <c r="F5" s="35">
        <f t="shared" si="4"/>
        <v>160.4267674</v>
      </c>
      <c r="G5" s="68">
        <f>123243*1.18</f>
        <v>145426.74</v>
      </c>
      <c r="H5" s="68">
        <v>392.0</v>
      </c>
      <c r="I5" s="68">
        <v>367.0</v>
      </c>
      <c r="J5" s="36">
        <f>445*K5</f>
        <v>147295</v>
      </c>
      <c r="K5" s="68">
        <v>331.0</v>
      </c>
      <c r="L5" s="69">
        <f t="shared" si="5"/>
        <v>35966</v>
      </c>
      <c r="M5" s="68">
        <f t="shared" si="6"/>
        <v>36</v>
      </c>
      <c r="N5" s="39">
        <f t="shared" si="7"/>
        <v>9.809264305</v>
      </c>
      <c r="O5" s="70">
        <f t="shared" si="8"/>
        <v>93.62244898</v>
      </c>
      <c r="P5" s="40">
        <f t="shared" si="9"/>
        <v>90.19073569</v>
      </c>
      <c r="Q5" s="35">
        <f t="shared" si="10"/>
        <v>370.9865816</v>
      </c>
      <c r="R5" s="35">
        <f t="shared" si="11"/>
        <v>396.2581471</v>
      </c>
      <c r="S5" s="35">
        <f t="shared" si="12"/>
        <v>439.35571</v>
      </c>
      <c r="T5" s="35">
        <f t="shared" si="13"/>
        <v>6.37755102</v>
      </c>
    </row>
    <row r="6" ht="15.75" customHeight="1">
      <c r="A6" s="7" t="s">
        <v>26</v>
      </c>
      <c r="B6" s="68">
        <v>12363.0</v>
      </c>
      <c r="C6" s="32">
        <f t="shared" si="1"/>
        <v>7546</v>
      </c>
      <c r="D6" s="33">
        <f t="shared" si="2"/>
        <v>4817</v>
      </c>
      <c r="E6" s="34">
        <f t="shared" si="3"/>
        <v>38.96303486</v>
      </c>
      <c r="F6" s="35">
        <f t="shared" si="4"/>
        <v>688.1428571</v>
      </c>
      <c r="G6" s="68">
        <v>0.0</v>
      </c>
      <c r="H6" s="68">
        <v>8.0</v>
      </c>
      <c r="I6" s="68">
        <v>7.0</v>
      </c>
      <c r="J6" s="36">
        <f>K6*980</f>
        <v>6860</v>
      </c>
      <c r="K6" s="68">
        <v>7.0</v>
      </c>
      <c r="L6" s="69">
        <f t="shared" si="5"/>
        <v>686</v>
      </c>
      <c r="M6" s="68">
        <f t="shared" si="6"/>
        <v>0</v>
      </c>
      <c r="N6" s="39">
        <f t="shared" si="7"/>
        <v>0</v>
      </c>
      <c r="O6" s="70">
        <f t="shared" si="8"/>
        <v>87.5</v>
      </c>
      <c r="P6" s="40">
        <f t="shared" si="9"/>
        <v>100</v>
      </c>
      <c r="Q6" s="35">
        <f t="shared" si="10"/>
        <v>0</v>
      </c>
      <c r="R6" s="35">
        <f t="shared" si="11"/>
        <v>0</v>
      </c>
      <c r="S6" s="35">
        <f t="shared" si="12"/>
        <v>0</v>
      </c>
      <c r="T6" s="35">
        <f t="shared" si="13"/>
        <v>12.5</v>
      </c>
    </row>
    <row r="7" ht="15.75" customHeight="1">
      <c r="A7" s="7" t="s">
        <v>27</v>
      </c>
      <c r="B7" s="68">
        <v>25779.0</v>
      </c>
      <c r="C7" s="32">
        <f t="shared" si="1"/>
        <v>18400</v>
      </c>
      <c r="D7" s="33">
        <f t="shared" si="2"/>
        <v>7379</v>
      </c>
      <c r="E7" s="34">
        <f t="shared" si="3"/>
        <v>28.62407386</v>
      </c>
      <c r="F7" s="35">
        <f t="shared" si="4"/>
        <v>147.58</v>
      </c>
      <c r="G7" s="68">
        <v>0.0</v>
      </c>
      <c r="H7" s="68">
        <v>51.0</v>
      </c>
      <c r="I7" s="68">
        <v>50.0</v>
      </c>
      <c r="J7" s="36">
        <f>270*K7</f>
        <v>13500</v>
      </c>
      <c r="K7" s="68">
        <v>50.0</v>
      </c>
      <c r="L7" s="69">
        <f t="shared" si="5"/>
        <v>4900</v>
      </c>
      <c r="M7" s="68">
        <f t="shared" si="6"/>
        <v>0</v>
      </c>
      <c r="N7" s="39">
        <f t="shared" si="7"/>
        <v>0</v>
      </c>
      <c r="O7" s="70">
        <f t="shared" si="8"/>
        <v>98.03921569</v>
      </c>
      <c r="P7" s="40">
        <f t="shared" si="9"/>
        <v>100</v>
      </c>
      <c r="Q7" s="35">
        <f t="shared" si="10"/>
        <v>0</v>
      </c>
      <c r="R7" s="35">
        <f t="shared" si="11"/>
        <v>0</v>
      </c>
      <c r="S7" s="35">
        <f t="shared" si="12"/>
        <v>0</v>
      </c>
      <c r="T7" s="35">
        <f t="shared" si="13"/>
        <v>1.960784314</v>
      </c>
    </row>
    <row r="8" ht="15.75" customHeight="1">
      <c r="A8" s="7" t="s">
        <v>28</v>
      </c>
      <c r="B8" s="68">
        <v>4881.0</v>
      </c>
      <c r="C8" s="32">
        <f t="shared" si="1"/>
        <v>2032</v>
      </c>
      <c r="D8" s="33">
        <f t="shared" si="2"/>
        <v>2849</v>
      </c>
      <c r="E8" s="34">
        <f t="shared" si="3"/>
        <v>58.36918664</v>
      </c>
      <c r="F8" s="35">
        <f t="shared" si="4"/>
        <v>712.25</v>
      </c>
      <c r="G8" s="68">
        <v>0.0</v>
      </c>
      <c r="H8" s="68">
        <v>6.0</v>
      </c>
      <c r="I8" s="68">
        <v>4.0</v>
      </c>
      <c r="J8" s="36">
        <f>410*K8</f>
        <v>1640</v>
      </c>
      <c r="K8" s="68">
        <v>4.0</v>
      </c>
      <c r="L8" s="69">
        <f t="shared" si="5"/>
        <v>392</v>
      </c>
      <c r="M8" s="68">
        <f t="shared" si="6"/>
        <v>0</v>
      </c>
      <c r="N8" s="39">
        <f t="shared" si="7"/>
        <v>0</v>
      </c>
      <c r="O8" s="70">
        <f t="shared" si="8"/>
        <v>66.66666667</v>
      </c>
      <c r="P8" s="40">
        <f t="shared" si="9"/>
        <v>100</v>
      </c>
      <c r="Q8" s="35">
        <f t="shared" si="10"/>
        <v>0</v>
      </c>
      <c r="R8" s="35">
        <f t="shared" si="11"/>
        <v>0</v>
      </c>
      <c r="S8" s="35">
        <f t="shared" si="12"/>
        <v>0</v>
      </c>
      <c r="T8" s="35">
        <f t="shared" si="13"/>
        <v>33.33333333</v>
      </c>
    </row>
    <row r="9" ht="15.75" customHeight="1">
      <c r="A9" s="7" t="s">
        <v>29</v>
      </c>
      <c r="B9" s="68">
        <v>53955.0</v>
      </c>
      <c r="C9" s="32">
        <f t="shared" si="1"/>
        <v>20399</v>
      </c>
      <c r="D9" s="33">
        <f t="shared" si="2"/>
        <v>33556</v>
      </c>
      <c r="E9" s="34">
        <f t="shared" si="3"/>
        <v>62.19256788</v>
      </c>
      <c r="F9" s="35">
        <f t="shared" si="4"/>
        <v>860.4102564</v>
      </c>
      <c r="G9" s="68">
        <v>0.0</v>
      </c>
      <c r="H9" s="68">
        <v>43.0</v>
      </c>
      <c r="I9" s="68">
        <v>43.0</v>
      </c>
      <c r="J9" s="36">
        <f>415*K9</f>
        <v>16185</v>
      </c>
      <c r="K9" s="68">
        <v>39.0</v>
      </c>
      <c r="L9" s="69">
        <f t="shared" si="5"/>
        <v>4214</v>
      </c>
      <c r="M9" s="68">
        <f t="shared" si="6"/>
        <v>4</v>
      </c>
      <c r="N9" s="39">
        <f t="shared" si="7"/>
        <v>9.302325581</v>
      </c>
      <c r="O9" s="70">
        <f t="shared" si="8"/>
        <v>100</v>
      </c>
      <c r="P9" s="40">
        <f t="shared" si="9"/>
        <v>90.69767442</v>
      </c>
      <c r="Q9" s="35">
        <f t="shared" si="10"/>
        <v>0</v>
      </c>
      <c r="R9" s="35">
        <f t="shared" si="11"/>
        <v>0</v>
      </c>
      <c r="S9" s="35">
        <f t="shared" si="12"/>
        <v>0</v>
      </c>
      <c r="T9" s="35">
        <f t="shared" si="13"/>
        <v>0</v>
      </c>
    </row>
    <row r="10" ht="15.75" customHeight="1">
      <c r="A10" s="7" t="s">
        <v>30</v>
      </c>
      <c r="B10" s="68">
        <v>5951.0</v>
      </c>
      <c r="C10" s="32">
        <f t="shared" si="1"/>
        <v>2632</v>
      </c>
      <c r="D10" s="33">
        <f t="shared" si="2"/>
        <v>3319</v>
      </c>
      <c r="E10" s="34">
        <f t="shared" si="3"/>
        <v>55.77213914</v>
      </c>
      <c r="F10" s="35">
        <f t="shared" si="4"/>
        <v>829.75</v>
      </c>
      <c r="G10" s="68">
        <v>0.0</v>
      </c>
      <c r="H10" s="68">
        <v>4.0</v>
      </c>
      <c r="I10" s="68">
        <v>4.0</v>
      </c>
      <c r="J10" s="36">
        <f>560*I10</f>
        <v>2240</v>
      </c>
      <c r="K10" s="68">
        <v>4.0</v>
      </c>
      <c r="L10" s="69">
        <f t="shared" si="5"/>
        <v>392</v>
      </c>
      <c r="M10" s="68">
        <f t="shared" si="6"/>
        <v>0</v>
      </c>
      <c r="N10" s="39">
        <f t="shared" si="7"/>
        <v>0</v>
      </c>
      <c r="O10" s="70">
        <f t="shared" si="8"/>
        <v>100</v>
      </c>
      <c r="P10" s="40">
        <f t="shared" si="9"/>
        <v>100</v>
      </c>
      <c r="Q10" s="35">
        <f t="shared" si="10"/>
        <v>0</v>
      </c>
      <c r="R10" s="35">
        <f t="shared" si="11"/>
        <v>0</v>
      </c>
      <c r="S10" s="35">
        <f t="shared" si="12"/>
        <v>0</v>
      </c>
      <c r="T10" s="35">
        <f t="shared" si="13"/>
        <v>0</v>
      </c>
    </row>
    <row r="11" ht="15.75" customHeight="1">
      <c r="A11" s="3"/>
      <c r="B11" s="3">
        <f>SUM(B4:B10)</f>
        <v>649040</v>
      </c>
      <c r="C11" s="3"/>
      <c r="D11" s="3"/>
      <c r="E11" s="3"/>
      <c r="F11" s="3"/>
      <c r="G11" s="3">
        <f>SUM(G4:G10)</f>
        <v>217527.1</v>
      </c>
      <c r="H11" s="3"/>
      <c r="I11" s="3"/>
      <c r="J11" s="3">
        <f t="shared" ref="J11:L11" si="14">SUM(J4:J10)</f>
        <v>241010</v>
      </c>
      <c r="K11" s="3">
        <f t="shared" si="14"/>
        <v>581</v>
      </c>
      <c r="L11" s="3">
        <f t="shared" si="14"/>
        <v>62426</v>
      </c>
      <c r="M11" s="3"/>
      <c r="N11" s="3"/>
      <c r="O11" s="3"/>
      <c r="P11" s="3"/>
      <c r="Q11" s="3"/>
      <c r="R11" s="3"/>
      <c r="S11" s="3"/>
      <c r="T11" s="35"/>
    </row>
    <row r="12" ht="15.75" customHeight="1">
      <c r="A12" s="71" t="s">
        <v>32</v>
      </c>
      <c r="B12" s="72">
        <f>SUM(B3:B10)</f>
        <v>649040</v>
      </c>
      <c r="C12" s="3"/>
      <c r="D12" s="73" t="s">
        <v>33</v>
      </c>
      <c r="E12" s="74">
        <v>1117.0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5.75" customHeight="1">
      <c r="A13" s="71" t="s">
        <v>34</v>
      </c>
      <c r="B13" s="72">
        <f>SUM(C3:C10)</f>
        <v>520963.1</v>
      </c>
      <c r="C13" s="3"/>
      <c r="D13" s="73" t="s">
        <v>22</v>
      </c>
      <c r="E13" s="74">
        <v>320.0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5.75" customHeight="1">
      <c r="A14" s="71" t="s">
        <v>36</v>
      </c>
      <c r="B14" s="72">
        <f>SUM(D3:D10)</f>
        <v>128076.9</v>
      </c>
      <c r="C14" s="3"/>
      <c r="D14" s="73" t="s">
        <v>37</v>
      </c>
      <c r="E14" s="74">
        <v>2.9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5.75" customHeight="1">
      <c r="A15" s="71" t="s">
        <v>38</v>
      </c>
      <c r="B15" s="75">
        <f>B14/B12*100</f>
        <v>19.733283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5.75" customHeight="1">
      <c r="A18" s="54" t="s">
        <v>45</v>
      </c>
      <c r="B18" s="55" t="s">
        <v>3</v>
      </c>
      <c r="C18" s="55" t="s">
        <v>4</v>
      </c>
      <c r="D18" s="55" t="s">
        <v>5</v>
      </c>
      <c r="E18" s="56" t="s">
        <v>6</v>
      </c>
      <c r="F18" s="55" t="s">
        <v>7</v>
      </c>
      <c r="G18" s="55" t="s">
        <v>9</v>
      </c>
      <c r="H18" s="55" t="s">
        <v>11</v>
      </c>
      <c r="I18" s="55" t="s">
        <v>12</v>
      </c>
      <c r="J18" s="55" t="s">
        <v>42</v>
      </c>
      <c r="K18" s="55" t="s">
        <v>43</v>
      </c>
      <c r="L18" s="56" t="s">
        <v>15</v>
      </c>
      <c r="M18" s="3"/>
      <c r="N18" s="3"/>
      <c r="O18" s="3"/>
      <c r="P18" s="3"/>
      <c r="Q18" s="3"/>
      <c r="R18" s="3"/>
      <c r="S18" s="3"/>
      <c r="T18" s="3"/>
    </row>
    <row r="19" ht="15.75" customHeight="1">
      <c r="A19" s="11" t="s">
        <v>24</v>
      </c>
      <c r="B19" s="12">
        <f>406941.58+96665.02</f>
        <v>503606.6</v>
      </c>
      <c r="C19" s="13">
        <f t="shared" ref="C19:C25" si="15">K19+H19</f>
        <v>317204.43</v>
      </c>
      <c r="D19" s="57">
        <f t="shared" ref="D19:D25" si="16">B19-C19</f>
        <v>186402.17</v>
      </c>
      <c r="E19" s="15">
        <f t="shared" ref="E19:E25" si="17">D19/B19*100</f>
        <v>37.01344859</v>
      </c>
      <c r="F19" s="16">
        <f t="shared" ref="F19:F25" si="18">D19/I19</f>
        <v>405.2221087</v>
      </c>
      <c r="G19" s="12">
        <f>95+433</f>
        <v>528</v>
      </c>
      <c r="H19" s="17">
        <f>365*I19</f>
        <v>167900</v>
      </c>
      <c r="I19" s="12">
        <f>377+83</f>
        <v>460</v>
      </c>
      <c r="J19" s="12">
        <f t="shared" ref="J19:J25" si="19">G19-I19</f>
        <v>68</v>
      </c>
      <c r="K19" s="12">
        <f>114862.41+34442.02</f>
        <v>149304.43</v>
      </c>
      <c r="L19" s="58">
        <f t="shared" ref="L19:L25" si="20">J19/G19*100</f>
        <v>12.87878788</v>
      </c>
      <c r="M19" s="3"/>
      <c r="N19" s="3"/>
      <c r="O19" s="3"/>
      <c r="P19" s="3"/>
      <c r="Q19" s="3"/>
      <c r="R19" s="3"/>
      <c r="S19" s="3"/>
      <c r="T19" s="3"/>
    </row>
    <row r="20" ht="15.75" customHeight="1">
      <c r="A20" s="11" t="s">
        <v>25</v>
      </c>
      <c r="B20" s="12">
        <f>729639.96+110671.96</f>
        <v>840311.92</v>
      </c>
      <c r="C20" s="13">
        <f t="shared" si="15"/>
        <v>529235.61</v>
      </c>
      <c r="D20" s="57">
        <f t="shared" si="16"/>
        <v>311076.31</v>
      </c>
      <c r="E20" s="15">
        <f t="shared" si="17"/>
        <v>37.0191476</v>
      </c>
      <c r="F20" s="16">
        <f t="shared" si="18"/>
        <v>422.0845455</v>
      </c>
      <c r="G20" s="12">
        <f>709+109</f>
        <v>818</v>
      </c>
      <c r="H20" s="17">
        <f>445*I20</f>
        <v>327965</v>
      </c>
      <c r="I20" s="12">
        <f>637+100</f>
        <v>737</v>
      </c>
      <c r="J20" s="12">
        <f t="shared" si="19"/>
        <v>81</v>
      </c>
      <c r="K20" s="12">
        <f>179407.06+21863.55 
</f>
        <v>201270.61</v>
      </c>
      <c r="L20" s="58">
        <f t="shared" si="20"/>
        <v>9.902200489</v>
      </c>
    </row>
    <row r="21" ht="15.75" customHeight="1">
      <c r="A21" s="11" t="s">
        <v>26</v>
      </c>
      <c r="B21" s="12">
        <f>59885.05</f>
        <v>59885.05</v>
      </c>
      <c r="C21" s="13">
        <f t="shared" si="15"/>
        <v>70079.52</v>
      </c>
      <c r="D21" s="57">
        <f t="shared" si="16"/>
        <v>-10194.47</v>
      </c>
      <c r="E21" s="15">
        <f t="shared" si="17"/>
        <v>-17.02339733</v>
      </c>
      <c r="F21" s="16">
        <f t="shared" si="18"/>
        <v>-216.903617</v>
      </c>
      <c r="G21" s="12">
        <v>56.0</v>
      </c>
      <c r="H21" s="17">
        <f>980*I21</f>
        <v>46060</v>
      </c>
      <c r="I21" s="12">
        <v>47.0</v>
      </c>
      <c r="J21" s="12">
        <f t="shared" si="19"/>
        <v>9</v>
      </c>
      <c r="K21" s="12">
        <f>24019.52 
</f>
        <v>24019.52</v>
      </c>
      <c r="L21" s="58">
        <f t="shared" si="20"/>
        <v>16.07142857</v>
      </c>
    </row>
    <row r="22" ht="15.75" customHeight="1">
      <c r="A22" s="11" t="s">
        <v>27</v>
      </c>
      <c r="B22" s="12">
        <f>685730.14+14906.12</f>
        <v>700636.26</v>
      </c>
      <c r="C22" s="13">
        <f t="shared" si="15"/>
        <v>497853.17</v>
      </c>
      <c r="D22" s="57">
        <f t="shared" si="16"/>
        <v>202783.09</v>
      </c>
      <c r="E22" s="15">
        <f t="shared" si="17"/>
        <v>28.94270559</v>
      </c>
      <c r="F22" s="16">
        <f t="shared" si="18"/>
        <v>170.8366386</v>
      </c>
      <c r="G22" s="12">
        <f>23+1322</f>
        <v>1345</v>
      </c>
      <c r="H22" s="17">
        <f>270*I22</f>
        <v>320490</v>
      </c>
      <c r="I22" s="12">
        <f>1164+23</f>
        <v>1187</v>
      </c>
      <c r="J22" s="12">
        <f t="shared" si="19"/>
        <v>158</v>
      </c>
      <c r="K22" s="12">
        <f>4925.77+172437.4</f>
        <v>177363.17</v>
      </c>
      <c r="L22" s="58">
        <f t="shared" si="20"/>
        <v>11.7472119</v>
      </c>
    </row>
    <row r="23" ht="15.75" customHeight="1">
      <c r="A23" s="11" t="s">
        <v>28</v>
      </c>
      <c r="B23" s="12">
        <f>2510.38+5146.91</f>
        <v>7657.29</v>
      </c>
      <c r="C23" s="13">
        <f t="shared" si="15"/>
        <v>8062.64</v>
      </c>
      <c r="D23" s="57">
        <f t="shared" si="16"/>
        <v>-405.35</v>
      </c>
      <c r="E23" s="15">
        <f t="shared" si="17"/>
        <v>-5.293648275</v>
      </c>
      <c r="F23" s="16">
        <f t="shared" si="18"/>
        <v>-57.90714286</v>
      </c>
      <c r="G23" s="12">
        <v>16.0</v>
      </c>
      <c r="H23" s="17">
        <f>415*I23</f>
        <v>2905</v>
      </c>
      <c r="I23" s="12">
        <v>7.0</v>
      </c>
      <c r="J23" s="12">
        <f t="shared" si="19"/>
        <v>9</v>
      </c>
      <c r="K23" s="12">
        <f>741.89+4415.75 </f>
        <v>5157.64</v>
      </c>
      <c r="L23" s="58">
        <f t="shared" si="20"/>
        <v>56.25</v>
      </c>
    </row>
    <row r="24" ht="15.75" customHeight="1">
      <c r="A24" s="11" t="s">
        <v>29</v>
      </c>
      <c r="B24" s="12">
        <f>20064.05+114294.16</f>
        <v>134358.21</v>
      </c>
      <c r="C24" s="13">
        <f t="shared" si="15"/>
        <v>78352.31</v>
      </c>
      <c r="D24" s="57">
        <f t="shared" si="16"/>
        <v>56005.9</v>
      </c>
      <c r="E24" s="15">
        <f t="shared" si="17"/>
        <v>41.68401767</v>
      </c>
      <c r="F24" s="16">
        <f t="shared" si="18"/>
        <v>560.059</v>
      </c>
      <c r="G24" s="12">
        <v>108.0</v>
      </c>
      <c r="H24" s="17">
        <f>410*I24</f>
        <v>41000</v>
      </c>
      <c r="I24" s="12">
        <f>14+86</f>
        <v>100</v>
      </c>
      <c r="J24" s="12">
        <f t="shared" si="19"/>
        <v>8</v>
      </c>
      <c r="K24" s="12">
        <f>5353.7+31998.61</f>
        <v>37352.31</v>
      </c>
      <c r="L24" s="58">
        <f t="shared" si="20"/>
        <v>7.407407407</v>
      </c>
    </row>
    <row r="25" ht="15.75" customHeight="1">
      <c r="A25" s="11" t="s">
        <v>30</v>
      </c>
      <c r="B25" s="12">
        <f>37034.82</f>
        <v>37034.82</v>
      </c>
      <c r="C25" s="13">
        <f t="shared" si="15"/>
        <v>21339.37</v>
      </c>
      <c r="D25" s="57">
        <f t="shared" si="16"/>
        <v>15695.45</v>
      </c>
      <c r="E25" s="15">
        <f t="shared" si="17"/>
        <v>42.38025188</v>
      </c>
      <c r="F25" s="16">
        <f t="shared" si="18"/>
        <v>682.4108696</v>
      </c>
      <c r="G25" s="12">
        <v>26.0</v>
      </c>
      <c r="H25" s="17">
        <f>560*I25</f>
        <v>12880</v>
      </c>
      <c r="I25" s="12">
        <v>23.0</v>
      </c>
      <c r="J25" s="12">
        <f t="shared" si="19"/>
        <v>3</v>
      </c>
      <c r="K25" s="12">
        <f>8459.37</f>
        <v>8459.37</v>
      </c>
      <c r="L25" s="58">
        <f t="shared" si="20"/>
        <v>11.53846154</v>
      </c>
    </row>
    <row r="26" ht="15.75" customHeight="1">
      <c r="H26" s="21">
        <f t="shared" ref="H26:I26" si="21">SUM(H19:H25)</f>
        <v>919200</v>
      </c>
      <c r="I26" s="21">
        <f t="shared" si="21"/>
        <v>2561</v>
      </c>
    </row>
    <row r="27" ht="15.75" customHeight="1">
      <c r="J27" s="21" t="s">
        <v>8</v>
      </c>
      <c r="K27" s="21" t="s">
        <v>43</v>
      </c>
    </row>
    <row r="28" ht="15.75" customHeight="1">
      <c r="A28" s="71" t="s">
        <v>32</v>
      </c>
      <c r="B28" s="72">
        <f>SUM(B19:B26)</f>
        <v>2283490.15</v>
      </c>
      <c r="J28" s="21">
        <f>321422</f>
        <v>321422</v>
      </c>
      <c r="K28" s="21">
        <f>sum(K19:K25)-J28</f>
        <v>281505.05</v>
      </c>
    </row>
    <row r="29" ht="15.75" customHeight="1">
      <c r="A29" s="71" t="s">
        <v>34</v>
      </c>
      <c r="B29" s="72">
        <f>SUM(C19:C26)</f>
        <v>1522127.05</v>
      </c>
    </row>
    <row r="30" ht="15.75" customHeight="1">
      <c r="A30" s="71" t="s">
        <v>36</v>
      </c>
      <c r="B30" s="72">
        <f>B28-B29</f>
        <v>761363.1</v>
      </c>
    </row>
    <row r="31" ht="15.75" customHeight="1">
      <c r="A31" s="71" t="s">
        <v>38</v>
      </c>
      <c r="B31" s="75">
        <f>B30/B28*100</f>
        <v>33.34207945</v>
      </c>
    </row>
    <row r="32" ht="15.75" customHeight="1"/>
    <row r="33" ht="15.75" customHeight="1"/>
    <row r="34" ht="15.75" customHeight="1"/>
    <row r="35" ht="15.75" customHeight="1">
      <c r="A35" s="3"/>
      <c r="B35" s="45"/>
    </row>
    <row r="36" ht="15.75" customHeight="1">
      <c r="A36" s="3"/>
      <c r="B36" s="45"/>
    </row>
    <row r="37" ht="15.75" customHeight="1">
      <c r="A37" s="3"/>
      <c r="B37" s="45"/>
    </row>
    <row r="38" ht="15.75" customHeight="1">
      <c r="A38" s="3"/>
      <c r="B38" s="45"/>
    </row>
    <row r="39" ht="15.75" customHeight="1">
      <c r="A39" s="3"/>
      <c r="B39" s="45"/>
    </row>
    <row r="40" ht="15.75" customHeight="1">
      <c r="A40" s="46"/>
      <c r="B40" s="47"/>
    </row>
    <row r="41" ht="15.75" customHeight="1">
      <c r="A41" s="76"/>
      <c r="B41" s="63"/>
    </row>
    <row r="42" ht="15.75" customHeight="1"/>
    <row r="43" ht="15.75" customHeight="1"/>
    <row r="44" ht="15.75" customHeight="1">
      <c r="A44" s="64"/>
      <c r="B44" s="77"/>
    </row>
    <row r="45" ht="15.75" customHeight="1">
      <c r="A45" s="3"/>
      <c r="B45" s="45"/>
    </row>
    <row r="46" ht="15.75" customHeight="1">
      <c r="A46" s="3"/>
      <c r="B46" s="45"/>
    </row>
    <row r="47" ht="15.75" customHeight="1">
      <c r="A47" s="64"/>
      <c r="B47" s="78"/>
    </row>
    <row r="48" ht="15.75" customHeight="1">
      <c r="A48" s="64"/>
      <c r="B48" s="78"/>
    </row>
    <row r="49" ht="15.75" customHeight="1">
      <c r="A49" s="64"/>
      <c r="B49" s="78"/>
    </row>
    <row r="50" ht="15.75" customHeight="1">
      <c r="A50" s="64"/>
      <c r="B50" s="78"/>
    </row>
    <row r="51" ht="15.75" customHeight="1"/>
    <row r="52" ht="15.75" customHeight="1"/>
    <row r="53" ht="15.75" customHeight="1">
      <c r="A53" s="76"/>
      <c r="B53" s="79"/>
    </row>
    <row r="54" ht="15.75" customHeight="1">
      <c r="A54" s="80"/>
      <c r="B54" s="79"/>
    </row>
    <row r="55" ht="15.75" customHeight="1">
      <c r="A55" s="80"/>
      <c r="B55" s="79"/>
    </row>
    <row r="56" ht="15.75" customHeight="1">
      <c r="A56" s="76"/>
      <c r="B56" s="80"/>
      <c r="G56" s="61"/>
    </row>
    <row r="57" ht="15.75" customHeight="1">
      <c r="A57" s="76"/>
      <c r="B57" s="80"/>
      <c r="G57" s="61"/>
    </row>
    <row r="58" ht="15.75" customHeight="1">
      <c r="A58" s="76"/>
      <c r="B58" s="80"/>
      <c r="G58" s="61"/>
    </row>
    <row r="59" ht="15.75" customHeight="1">
      <c r="A59" s="76"/>
      <c r="B59" s="80"/>
      <c r="G59" s="61"/>
    </row>
    <row r="60" ht="15.75" customHeight="1">
      <c r="G60" s="61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11" max="11" width="14.63"/>
  </cols>
  <sheetData>
    <row r="1" ht="15.75" customHeight="1">
      <c r="A1" s="66" t="s">
        <v>48</v>
      </c>
      <c r="B1" s="67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7" t="s">
        <v>2</v>
      </c>
      <c r="B3" s="29" t="s">
        <v>3</v>
      </c>
      <c r="C3" s="29" t="s">
        <v>4</v>
      </c>
      <c r="D3" s="29" t="s">
        <v>5</v>
      </c>
      <c r="E3" s="30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14</v>
      </c>
      <c r="M3" s="29" t="s">
        <v>13</v>
      </c>
      <c r="N3" s="30" t="s">
        <v>15</v>
      </c>
      <c r="O3" s="30" t="s">
        <v>16</v>
      </c>
      <c r="P3" s="30" t="s">
        <v>17</v>
      </c>
      <c r="Q3" s="30" t="s">
        <v>20</v>
      </c>
      <c r="R3" s="30" t="s">
        <v>21</v>
      </c>
      <c r="S3" s="29" t="s">
        <v>22</v>
      </c>
      <c r="T3" s="29" t="s">
        <v>23</v>
      </c>
    </row>
    <row r="4" ht="15.75" customHeight="1">
      <c r="A4" s="7" t="s">
        <v>24</v>
      </c>
      <c r="B4" s="68">
        <v>347115.0</v>
      </c>
      <c r="C4" s="32">
        <f t="shared" ref="C4:C10" si="1">G4+J4+L4</f>
        <v>300000.14</v>
      </c>
      <c r="D4" s="33">
        <f t="shared" ref="D4:D10" si="2">B4-C4</f>
        <v>47114.86</v>
      </c>
      <c r="E4" s="34">
        <f t="shared" ref="E4:E10" si="3">D4/B4*100</f>
        <v>13.57327111</v>
      </c>
      <c r="F4" s="35">
        <f t="shared" ref="F4:F10" si="4">D4/K4</f>
        <v>124.9731034</v>
      </c>
      <c r="G4" s="68">
        <f>134173*1.18</f>
        <v>158324.14</v>
      </c>
      <c r="H4" s="68">
        <v>420.0</v>
      </c>
      <c r="I4" s="68">
        <v>407.0</v>
      </c>
      <c r="J4" s="36">
        <f>270*K4</f>
        <v>101790</v>
      </c>
      <c r="K4" s="68">
        <v>377.0</v>
      </c>
      <c r="L4" s="69">
        <f t="shared" ref="L4:L10" si="5">I4*98</f>
        <v>39886</v>
      </c>
      <c r="M4" s="68">
        <f t="shared" ref="M4:M10" si="6">I4-K4</f>
        <v>30</v>
      </c>
      <c r="N4" s="39">
        <f t="shared" ref="N4:N10" si="7">M4/I4*100</f>
        <v>7.371007371</v>
      </c>
      <c r="O4" s="70">
        <f t="shared" ref="O4:O10" si="8">I4/H4*100</f>
        <v>96.9047619</v>
      </c>
      <c r="P4" s="40">
        <f t="shared" ref="P4:P10" si="9">K4/I4*100</f>
        <v>92.62899263</v>
      </c>
      <c r="Q4" s="35">
        <f t="shared" ref="Q4:Q10" si="10">G4/H4</f>
        <v>376.9622381</v>
      </c>
      <c r="R4" s="35">
        <f t="shared" ref="R4:R10" si="11">G4/I4</f>
        <v>389.002801</v>
      </c>
      <c r="S4" s="35">
        <f t="shared" ref="S4:S10" si="12">G4/K4</f>
        <v>419.957931</v>
      </c>
      <c r="T4" s="35">
        <f t="shared" ref="T4:T10" si="13">100-O4</f>
        <v>3.095238095</v>
      </c>
    </row>
    <row r="5" ht="15.75" customHeight="1">
      <c r="A5" s="7" t="s">
        <v>25</v>
      </c>
      <c r="B5" s="68">
        <v>39915.0</v>
      </c>
      <c r="C5" s="32">
        <f t="shared" si="1"/>
        <v>19201</v>
      </c>
      <c r="D5" s="33">
        <f t="shared" si="2"/>
        <v>20714</v>
      </c>
      <c r="E5" s="34">
        <f t="shared" si="3"/>
        <v>51.89527746</v>
      </c>
      <c r="F5" s="35">
        <f t="shared" si="4"/>
        <v>591.8285714</v>
      </c>
      <c r="G5" s="68">
        <v>0.0</v>
      </c>
      <c r="H5" s="68">
        <v>39.0</v>
      </c>
      <c r="I5" s="68">
        <v>37.0</v>
      </c>
      <c r="J5" s="36">
        <f>445*K5</f>
        <v>15575</v>
      </c>
      <c r="K5" s="68">
        <v>35.0</v>
      </c>
      <c r="L5" s="69">
        <f t="shared" si="5"/>
        <v>3626</v>
      </c>
      <c r="M5" s="68">
        <f t="shared" si="6"/>
        <v>2</v>
      </c>
      <c r="N5" s="39">
        <f t="shared" si="7"/>
        <v>5.405405405</v>
      </c>
      <c r="O5" s="70">
        <f t="shared" si="8"/>
        <v>94.87179487</v>
      </c>
      <c r="P5" s="40">
        <f t="shared" si="9"/>
        <v>94.59459459</v>
      </c>
      <c r="Q5" s="35">
        <f t="shared" si="10"/>
        <v>0</v>
      </c>
      <c r="R5" s="35">
        <f t="shared" si="11"/>
        <v>0</v>
      </c>
      <c r="S5" s="35">
        <f t="shared" si="12"/>
        <v>0</v>
      </c>
      <c r="T5" s="35">
        <f t="shared" si="13"/>
        <v>5.128205128</v>
      </c>
    </row>
    <row r="6" ht="15.75" customHeight="1">
      <c r="A6" s="7" t="s">
        <v>26</v>
      </c>
      <c r="B6" s="68">
        <v>5667.0</v>
      </c>
      <c r="C6" s="32">
        <f t="shared" si="1"/>
        <v>3234</v>
      </c>
      <c r="D6" s="33">
        <f t="shared" si="2"/>
        <v>2433</v>
      </c>
      <c r="E6" s="34">
        <f t="shared" si="3"/>
        <v>42.93276866</v>
      </c>
      <c r="F6" s="35">
        <f t="shared" si="4"/>
        <v>811</v>
      </c>
      <c r="G6" s="68">
        <v>0.0</v>
      </c>
      <c r="H6" s="68">
        <v>4.0</v>
      </c>
      <c r="I6" s="68">
        <v>3.0</v>
      </c>
      <c r="J6" s="36">
        <f> 980*K6</f>
        <v>2940</v>
      </c>
      <c r="K6" s="68">
        <v>3.0</v>
      </c>
      <c r="L6" s="69">
        <f t="shared" si="5"/>
        <v>294</v>
      </c>
      <c r="M6" s="68">
        <f t="shared" si="6"/>
        <v>0</v>
      </c>
      <c r="N6" s="39">
        <f t="shared" si="7"/>
        <v>0</v>
      </c>
      <c r="O6" s="70">
        <f t="shared" si="8"/>
        <v>75</v>
      </c>
      <c r="P6" s="40">
        <f t="shared" si="9"/>
        <v>100</v>
      </c>
      <c r="Q6" s="35">
        <f t="shared" si="10"/>
        <v>0</v>
      </c>
      <c r="R6" s="35">
        <f t="shared" si="11"/>
        <v>0</v>
      </c>
      <c r="S6" s="35">
        <f t="shared" si="12"/>
        <v>0</v>
      </c>
      <c r="T6" s="35">
        <f t="shared" si="13"/>
        <v>25</v>
      </c>
    </row>
    <row r="7" ht="15.75" customHeight="1">
      <c r="A7" s="7" t="s">
        <v>27</v>
      </c>
      <c r="B7" s="68">
        <v>14221.0</v>
      </c>
      <c r="C7" s="32">
        <f t="shared" si="1"/>
        <v>10770</v>
      </c>
      <c r="D7" s="33">
        <f t="shared" si="2"/>
        <v>3451</v>
      </c>
      <c r="E7" s="34">
        <f t="shared" si="3"/>
        <v>24.26692919</v>
      </c>
      <c r="F7" s="35">
        <f t="shared" si="4"/>
        <v>119</v>
      </c>
      <c r="G7" s="68">
        <v>0.0</v>
      </c>
      <c r="H7" s="68">
        <v>31.0</v>
      </c>
      <c r="I7" s="68">
        <v>30.0</v>
      </c>
      <c r="J7" s="36">
        <f>270*K7</f>
        <v>7830</v>
      </c>
      <c r="K7" s="68">
        <v>29.0</v>
      </c>
      <c r="L7" s="69">
        <f t="shared" si="5"/>
        <v>2940</v>
      </c>
      <c r="M7" s="68">
        <f t="shared" si="6"/>
        <v>1</v>
      </c>
      <c r="N7" s="39">
        <f t="shared" si="7"/>
        <v>3.333333333</v>
      </c>
      <c r="O7" s="70">
        <f t="shared" si="8"/>
        <v>96.77419355</v>
      </c>
      <c r="P7" s="40">
        <f t="shared" si="9"/>
        <v>96.66666667</v>
      </c>
      <c r="Q7" s="35">
        <f t="shared" si="10"/>
        <v>0</v>
      </c>
      <c r="R7" s="35">
        <f t="shared" si="11"/>
        <v>0</v>
      </c>
      <c r="S7" s="35">
        <f t="shared" si="12"/>
        <v>0</v>
      </c>
      <c r="T7" s="35">
        <f t="shared" si="13"/>
        <v>3.225806452</v>
      </c>
    </row>
    <row r="8" ht="15.75" customHeight="1">
      <c r="A8" s="7" t="s">
        <v>28</v>
      </c>
      <c r="B8" s="68">
        <v>9930.0</v>
      </c>
      <c r="C8" s="32">
        <f t="shared" si="1"/>
        <v>5178</v>
      </c>
      <c r="D8" s="33">
        <f t="shared" si="2"/>
        <v>4752</v>
      </c>
      <c r="E8" s="34">
        <f t="shared" si="3"/>
        <v>47.85498489</v>
      </c>
      <c r="F8" s="35">
        <f t="shared" si="4"/>
        <v>475.2</v>
      </c>
      <c r="G8" s="68">
        <v>0.0</v>
      </c>
      <c r="H8" s="68">
        <v>12.0</v>
      </c>
      <c r="I8" s="68">
        <v>11.0</v>
      </c>
      <c r="J8" s="36">
        <f>410*K8</f>
        <v>4100</v>
      </c>
      <c r="K8" s="68">
        <v>10.0</v>
      </c>
      <c r="L8" s="69">
        <f t="shared" si="5"/>
        <v>1078</v>
      </c>
      <c r="M8" s="68">
        <f t="shared" si="6"/>
        <v>1</v>
      </c>
      <c r="N8" s="39">
        <f t="shared" si="7"/>
        <v>9.090909091</v>
      </c>
      <c r="O8" s="70">
        <f t="shared" si="8"/>
        <v>91.66666667</v>
      </c>
      <c r="P8" s="40">
        <f t="shared" si="9"/>
        <v>90.90909091</v>
      </c>
      <c r="Q8" s="35">
        <f t="shared" si="10"/>
        <v>0</v>
      </c>
      <c r="R8" s="35">
        <f t="shared" si="11"/>
        <v>0</v>
      </c>
      <c r="S8" s="35">
        <f t="shared" si="12"/>
        <v>0</v>
      </c>
      <c r="T8" s="35">
        <f t="shared" si="13"/>
        <v>8.333333333</v>
      </c>
    </row>
    <row r="9" ht="15.75" customHeight="1">
      <c r="A9" s="7" t="s">
        <v>29</v>
      </c>
      <c r="B9" s="68">
        <v>24086.0</v>
      </c>
      <c r="C9" s="32">
        <f t="shared" si="1"/>
        <v>8721</v>
      </c>
      <c r="D9" s="33">
        <f t="shared" si="2"/>
        <v>15365</v>
      </c>
      <c r="E9" s="34">
        <f t="shared" si="3"/>
        <v>63.79224446</v>
      </c>
      <c r="F9" s="35">
        <f t="shared" si="4"/>
        <v>903.8235294</v>
      </c>
      <c r="G9" s="68">
        <v>0.0</v>
      </c>
      <c r="H9" s="68">
        <v>19.0</v>
      </c>
      <c r="I9" s="68">
        <v>17.0</v>
      </c>
      <c r="J9" s="36">
        <f>415*K9</f>
        <v>7055</v>
      </c>
      <c r="K9" s="68">
        <v>17.0</v>
      </c>
      <c r="L9" s="69">
        <f t="shared" si="5"/>
        <v>1666</v>
      </c>
      <c r="M9" s="68">
        <f t="shared" si="6"/>
        <v>0</v>
      </c>
      <c r="N9" s="39">
        <f t="shared" si="7"/>
        <v>0</v>
      </c>
      <c r="O9" s="70">
        <f t="shared" si="8"/>
        <v>89.47368421</v>
      </c>
      <c r="P9" s="40">
        <f t="shared" si="9"/>
        <v>100</v>
      </c>
      <c r="Q9" s="35">
        <f t="shared" si="10"/>
        <v>0</v>
      </c>
      <c r="R9" s="35">
        <f t="shared" si="11"/>
        <v>0</v>
      </c>
      <c r="S9" s="35">
        <f t="shared" si="12"/>
        <v>0</v>
      </c>
      <c r="T9" s="35">
        <f t="shared" si="13"/>
        <v>10.52631579</v>
      </c>
    </row>
    <row r="10" ht="15.75" customHeight="1">
      <c r="A10" s="7" t="s">
        <v>30</v>
      </c>
      <c r="B10" s="68">
        <v>8564.0</v>
      </c>
      <c r="C10" s="32">
        <f t="shared" si="1"/>
        <v>3780</v>
      </c>
      <c r="D10" s="33">
        <f t="shared" si="2"/>
        <v>4784</v>
      </c>
      <c r="E10" s="34">
        <f t="shared" si="3"/>
        <v>55.86174685</v>
      </c>
      <c r="F10" s="35">
        <f t="shared" si="4"/>
        <v>956.8</v>
      </c>
      <c r="G10" s="68">
        <v>0.0</v>
      </c>
      <c r="H10" s="68">
        <v>12.0</v>
      </c>
      <c r="I10" s="68">
        <v>10.0</v>
      </c>
      <c r="J10" s="36">
        <f>560*K10</f>
        <v>2800</v>
      </c>
      <c r="K10" s="68">
        <v>5.0</v>
      </c>
      <c r="L10" s="69">
        <f t="shared" si="5"/>
        <v>980</v>
      </c>
      <c r="M10" s="68">
        <f t="shared" si="6"/>
        <v>5</v>
      </c>
      <c r="N10" s="39">
        <f t="shared" si="7"/>
        <v>50</v>
      </c>
      <c r="O10" s="70">
        <f t="shared" si="8"/>
        <v>83.33333333</v>
      </c>
      <c r="P10" s="40">
        <f t="shared" si="9"/>
        <v>50</v>
      </c>
      <c r="Q10" s="35">
        <f t="shared" si="10"/>
        <v>0</v>
      </c>
      <c r="R10" s="35">
        <f t="shared" si="11"/>
        <v>0</v>
      </c>
      <c r="S10" s="35">
        <f t="shared" si="12"/>
        <v>0</v>
      </c>
      <c r="T10" s="35">
        <f t="shared" si="13"/>
        <v>16.66666667</v>
      </c>
    </row>
    <row r="11" ht="15.75" customHeight="1">
      <c r="A11" s="3"/>
      <c r="B11" s="3"/>
      <c r="C11" s="3"/>
      <c r="D11" s="3"/>
      <c r="E11" s="3"/>
      <c r="F11" s="3"/>
      <c r="G11" s="3">
        <f t="shared" ref="G11:H11" si="14">SUM(G4:G10)</f>
        <v>158324.14</v>
      </c>
      <c r="H11" s="3">
        <f t="shared" si="14"/>
        <v>537</v>
      </c>
      <c r="I11" s="3"/>
      <c r="J11" s="3">
        <f t="shared" ref="J11:L11" si="15">SUM(J4:J10)</f>
        <v>142090</v>
      </c>
      <c r="K11" s="3">
        <f t="shared" si="15"/>
        <v>476</v>
      </c>
      <c r="L11" s="3">
        <f t="shared" si="15"/>
        <v>50470</v>
      </c>
      <c r="M11" s="3"/>
      <c r="N11" s="3"/>
      <c r="O11" s="3"/>
      <c r="P11" s="3"/>
      <c r="Q11" s="3"/>
      <c r="R11" s="3"/>
      <c r="S11" s="3"/>
      <c r="T11" s="3"/>
    </row>
    <row r="12" ht="15.75" customHeight="1">
      <c r="A12" s="71" t="s">
        <v>32</v>
      </c>
      <c r="B12" s="72">
        <f>SUM(B3:B10)</f>
        <v>449498</v>
      </c>
      <c r="C12" s="3"/>
      <c r="D12" s="73" t="s">
        <v>33</v>
      </c>
      <c r="E12" s="74">
        <v>945.0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5.75" customHeight="1">
      <c r="A13" s="71" t="s">
        <v>34</v>
      </c>
      <c r="B13" s="72">
        <f>SUM(C3:C10)</f>
        <v>350884.14</v>
      </c>
      <c r="C13" s="3"/>
      <c r="D13" s="73" t="s">
        <v>22</v>
      </c>
      <c r="E13" s="74">
        <v>335.0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5.75" customHeight="1">
      <c r="A14" s="71" t="s">
        <v>36</v>
      </c>
      <c r="B14" s="72">
        <f>SUM(D3:D10)</f>
        <v>98613.86</v>
      </c>
      <c r="C14" s="3"/>
      <c r="D14" s="73" t="s">
        <v>37</v>
      </c>
      <c r="E14" s="74">
        <v>2.8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5.75" customHeight="1">
      <c r="A15" s="71" t="s">
        <v>38</v>
      </c>
      <c r="B15" s="75">
        <f>B14/B12*100</f>
        <v>21.93866491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5.75" customHeight="1">
      <c r="A18" s="54" t="s">
        <v>45</v>
      </c>
      <c r="B18" s="55" t="s">
        <v>3</v>
      </c>
      <c r="C18" s="55" t="s">
        <v>4</v>
      </c>
      <c r="D18" s="55" t="s">
        <v>5</v>
      </c>
      <c r="E18" s="56" t="s">
        <v>6</v>
      </c>
      <c r="F18" s="55" t="s">
        <v>7</v>
      </c>
      <c r="G18" s="55" t="s">
        <v>9</v>
      </c>
      <c r="H18" s="55" t="s">
        <v>11</v>
      </c>
      <c r="I18" s="55" t="s">
        <v>12</v>
      </c>
      <c r="J18" s="55" t="s">
        <v>42</v>
      </c>
      <c r="K18" s="55" t="s">
        <v>43</v>
      </c>
      <c r="L18" s="56" t="s">
        <v>15</v>
      </c>
      <c r="M18" s="3"/>
      <c r="N18" s="3"/>
      <c r="O18" s="3"/>
      <c r="P18" s="3"/>
      <c r="Q18" s="3"/>
      <c r="R18" s="3"/>
      <c r="S18" s="3"/>
      <c r="T18" s="3"/>
    </row>
    <row r="19" ht="15.75" customHeight="1">
      <c r="A19" s="11" t="s">
        <v>24</v>
      </c>
      <c r="B19" s="12">
        <f>1077962.56+30414.15</f>
        <v>1108376.71</v>
      </c>
      <c r="C19" s="13">
        <f t="shared" ref="C19:C25" si="16">K19+H19</f>
        <v>562807.01</v>
      </c>
      <c r="D19" s="57">
        <f t="shared" ref="D19:D25" si="17">B19-C19</f>
        <v>545569.7</v>
      </c>
      <c r="E19" s="15">
        <f t="shared" ref="E19:E25" si="18">D19/B19*100</f>
        <v>49.22240742</v>
      </c>
      <c r="F19" s="16">
        <f t="shared" ref="F19:F25" si="19">D19/I19</f>
        <v>555.0047813</v>
      </c>
      <c r="G19" s="12">
        <f>1053+28</f>
        <v>1081</v>
      </c>
      <c r="H19" s="17">
        <f>270*I19</f>
        <v>265410</v>
      </c>
      <c r="I19" s="12">
        <f>958+25</f>
        <v>983</v>
      </c>
      <c r="J19" s="12">
        <f t="shared" ref="J19:J25" si="20">G19-I19</f>
        <v>98</v>
      </c>
      <c r="K19" s="12">
        <f>288391.68+9005.33 
</f>
        <v>297397.01</v>
      </c>
      <c r="L19" s="58">
        <f t="shared" ref="L19:L25" si="21">J19/G19*100</f>
        <v>9.065679926</v>
      </c>
      <c r="M19" s="3"/>
      <c r="N19" s="3"/>
      <c r="O19" s="3"/>
      <c r="P19" s="3"/>
      <c r="Q19" s="3"/>
      <c r="R19" s="3"/>
      <c r="S19" s="3"/>
      <c r="T19" s="3"/>
    </row>
    <row r="20" ht="15.75" customHeight="1">
      <c r="A20" s="11" t="s">
        <v>25</v>
      </c>
      <c r="B20" s="12">
        <f>47393.67+297179.84</f>
        <v>344573.51</v>
      </c>
      <c r="C20" s="13">
        <f t="shared" si="16"/>
        <v>194704.99</v>
      </c>
      <c r="D20" s="57">
        <f t="shared" si="17"/>
        <v>149868.52</v>
      </c>
      <c r="E20" s="15">
        <f t="shared" si="18"/>
        <v>43.49391803</v>
      </c>
      <c r="F20" s="16">
        <f t="shared" si="19"/>
        <v>580.8857364</v>
      </c>
      <c r="G20" s="12">
        <f>243+42</f>
        <v>285</v>
      </c>
      <c r="H20" s="17">
        <f>445*I20</f>
        <v>114810</v>
      </c>
      <c r="I20" s="12">
        <f>35+223</f>
        <v>258</v>
      </c>
      <c r="J20" s="12">
        <f t="shared" si="20"/>
        <v>27</v>
      </c>
      <c r="K20" s="12">
        <f>59466.48+20428.51</f>
        <v>79894.99</v>
      </c>
      <c r="L20" s="58">
        <f t="shared" si="21"/>
        <v>9.473684211</v>
      </c>
    </row>
    <row r="21" ht="15.75" customHeight="1">
      <c r="A21" s="11" t="s">
        <v>26</v>
      </c>
      <c r="B21" s="12">
        <f>4843.67</f>
        <v>4843.67</v>
      </c>
      <c r="C21" s="13">
        <f t="shared" si="16"/>
        <v>16385.04</v>
      </c>
      <c r="D21" s="57">
        <f t="shared" si="17"/>
        <v>-11541.37</v>
      </c>
      <c r="E21" s="15">
        <f t="shared" si="18"/>
        <v>-238.2773806</v>
      </c>
      <c r="F21" s="16">
        <f t="shared" si="19"/>
        <v>-1923.561667</v>
      </c>
      <c r="G21" s="12">
        <v>15.0</v>
      </c>
      <c r="H21" s="17">
        <f>980*I21</f>
        <v>5880</v>
      </c>
      <c r="I21" s="12">
        <v>6.0</v>
      </c>
      <c r="J21" s="12">
        <f t="shared" si="20"/>
        <v>9</v>
      </c>
      <c r="K21" s="12">
        <f>10505.04</f>
        <v>10505.04</v>
      </c>
      <c r="L21" s="58">
        <f t="shared" si="21"/>
        <v>60</v>
      </c>
    </row>
    <row r="22" ht="15.75" customHeight="1">
      <c r="A22" s="11" t="s">
        <v>27</v>
      </c>
      <c r="B22" s="12">
        <f>592143.45+16480.67</f>
        <v>608624.12</v>
      </c>
      <c r="C22" s="13">
        <f t="shared" si="16"/>
        <v>495171.02</v>
      </c>
      <c r="D22" s="57">
        <f t="shared" si="17"/>
        <v>113453.1</v>
      </c>
      <c r="E22" s="15">
        <f t="shared" si="18"/>
        <v>18.6409142</v>
      </c>
      <c r="F22" s="16">
        <f t="shared" si="19"/>
        <v>109.6165217</v>
      </c>
      <c r="G22" s="12">
        <f>31+1146</f>
        <v>1177</v>
      </c>
      <c r="H22" s="17">
        <f>270*I22</f>
        <v>279450</v>
      </c>
      <c r="I22" s="12">
        <f>1009+26</f>
        <v>1035</v>
      </c>
      <c r="J22" s="12">
        <f t="shared" si="20"/>
        <v>142</v>
      </c>
      <c r="K22" s="12">
        <f>208066.18+7654.84 
</f>
        <v>215721.02</v>
      </c>
      <c r="L22" s="58">
        <f t="shared" si="21"/>
        <v>12.06457094</v>
      </c>
    </row>
    <row r="23" ht="15.75" customHeight="1">
      <c r="A23" s="11" t="s">
        <v>28</v>
      </c>
      <c r="B23" s="12">
        <f>2392.64+34085.46</f>
        <v>36478.1</v>
      </c>
      <c r="C23" s="13">
        <f t="shared" si="16"/>
        <v>26615.08</v>
      </c>
      <c r="D23" s="57">
        <f t="shared" si="17"/>
        <v>9863.02</v>
      </c>
      <c r="E23" s="15">
        <f t="shared" si="18"/>
        <v>27.03819552</v>
      </c>
      <c r="F23" s="16">
        <f t="shared" si="19"/>
        <v>266.5681081</v>
      </c>
      <c r="G23" s="12">
        <v>38.0</v>
      </c>
      <c r="H23" s="17">
        <f>415*I23</f>
        <v>15355</v>
      </c>
      <c r="I23" s="12">
        <v>37.0</v>
      </c>
      <c r="J23" s="12">
        <f t="shared" si="20"/>
        <v>1</v>
      </c>
      <c r="K23" s="12">
        <f>10868.05 + 392.03</f>
        <v>11260.08</v>
      </c>
      <c r="L23" s="58">
        <f t="shared" si="21"/>
        <v>2.631578947</v>
      </c>
    </row>
    <row r="24" ht="15.75" customHeight="1">
      <c r="A24" s="11" t="s">
        <v>29</v>
      </c>
      <c r="B24" s="12">
        <f>10460.86+394145.67</f>
        <v>404606.53</v>
      </c>
      <c r="C24" s="13">
        <f t="shared" si="16"/>
        <v>212607.5</v>
      </c>
      <c r="D24" s="57">
        <f t="shared" si="17"/>
        <v>191999.03</v>
      </c>
      <c r="E24" s="15">
        <f t="shared" si="18"/>
        <v>47.45327022</v>
      </c>
      <c r="F24" s="16">
        <f t="shared" si="19"/>
        <v>637.8705316</v>
      </c>
      <c r="G24" s="12">
        <f>328+7</f>
        <v>335</v>
      </c>
      <c r="H24" s="17">
        <f>410*I24</f>
        <v>123410</v>
      </c>
      <c r="I24" s="12">
        <f>294+7</f>
        <v>301</v>
      </c>
      <c r="J24" s="12">
        <f t="shared" si="20"/>
        <v>34</v>
      </c>
      <c r="K24" s="12">
        <f>87598.26+1599.24</f>
        <v>89197.5</v>
      </c>
      <c r="L24" s="58">
        <f t="shared" si="21"/>
        <v>10.14925373</v>
      </c>
    </row>
    <row r="25" ht="15.75" customHeight="1">
      <c r="A25" s="11" t="s">
        <v>30</v>
      </c>
      <c r="B25" s="12">
        <f>54149.04</f>
        <v>54149.04</v>
      </c>
      <c r="C25" s="13">
        <f t="shared" si="16"/>
        <v>36250.16</v>
      </c>
      <c r="D25" s="57">
        <f t="shared" si="17"/>
        <v>17898.88</v>
      </c>
      <c r="E25" s="15">
        <f t="shared" si="18"/>
        <v>33.05484271</v>
      </c>
      <c r="F25" s="16">
        <f t="shared" si="19"/>
        <v>497.1911111</v>
      </c>
      <c r="G25" s="12">
        <v>37.0</v>
      </c>
      <c r="H25" s="17">
        <f>560*I25</f>
        <v>20160</v>
      </c>
      <c r="I25" s="12">
        <v>36.0</v>
      </c>
      <c r="J25" s="12">
        <f t="shared" si="20"/>
        <v>1</v>
      </c>
      <c r="K25" s="12">
        <f>16090.16 
</f>
        <v>16090.16</v>
      </c>
      <c r="L25" s="58">
        <f t="shared" si="21"/>
        <v>2.702702703</v>
      </c>
    </row>
    <row r="26" ht="15.75" customHeight="1">
      <c r="G26" s="21">
        <f t="shared" ref="G26:I26" si="22">SUM(G19:G25)</f>
        <v>2968</v>
      </c>
      <c r="H26" s="21">
        <f t="shared" si="22"/>
        <v>824475</v>
      </c>
      <c r="I26" s="21">
        <f t="shared" si="22"/>
        <v>2656</v>
      </c>
    </row>
    <row r="27" ht="15.75" customHeight="1">
      <c r="J27" s="21" t="s">
        <v>8</v>
      </c>
      <c r="K27" s="21" t="s">
        <v>43</v>
      </c>
    </row>
    <row r="28" ht="15.75" customHeight="1">
      <c r="A28" s="23" t="s">
        <v>32</v>
      </c>
      <c r="B28" s="21">
        <f>SUM(B19:B25)</f>
        <v>2561651.68</v>
      </c>
      <c r="J28" s="21">
        <f>418960</f>
        <v>418960</v>
      </c>
      <c r="K28" s="21">
        <f>sum(K19:K25)-J28</f>
        <v>301105.8</v>
      </c>
    </row>
    <row r="29" ht="15.75" customHeight="1">
      <c r="A29" s="23" t="s">
        <v>34</v>
      </c>
      <c r="B29" s="21">
        <f>SUM(C19:C25)</f>
        <v>1544540.8</v>
      </c>
    </row>
    <row r="30" ht="15.75" customHeight="1">
      <c r="A30" s="23" t="s">
        <v>36</v>
      </c>
      <c r="B30" s="81">
        <f>SUM(D19:D25)</f>
        <v>1017110.88</v>
      </c>
    </row>
    <row r="31" ht="15.75" customHeight="1">
      <c r="A31" s="23" t="s">
        <v>38</v>
      </c>
      <c r="B31" s="21">
        <f>B30/B28*100</f>
        <v>39.7052764</v>
      </c>
    </row>
    <row r="32" ht="15.75" customHeight="1"/>
    <row r="33" ht="15.75" customHeight="1"/>
    <row r="34" ht="15.75" customHeight="1"/>
    <row r="35" ht="15.75" customHeight="1"/>
    <row r="36" ht="15.75" customHeight="1">
      <c r="A36" s="3"/>
      <c r="B36" s="45"/>
    </row>
    <row r="37" ht="15.75" customHeight="1">
      <c r="A37" s="3"/>
      <c r="B37" s="45"/>
    </row>
    <row r="38" ht="15.75" customHeight="1">
      <c r="A38" s="3"/>
      <c r="B38" s="45"/>
    </row>
    <row r="39" ht="15.75" customHeight="1">
      <c r="A39" s="3"/>
      <c r="B39" s="45"/>
    </row>
    <row r="40" ht="15.75" customHeight="1">
      <c r="A40" s="3"/>
      <c r="B40" s="45"/>
    </row>
    <row r="41" ht="15.75" customHeight="1">
      <c r="A41" s="46"/>
      <c r="B41" s="47"/>
    </row>
    <row r="42" ht="15.75" customHeight="1"/>
    <row r="43" ht="15.75" customHeight="1">
      <c r="A43" s="59"/>
      <c r="B43" s="49"/>
    </row>
    <row r="44" ht="15.75" customHeight="1">
      <c r="A44" s="82"/>
      <c r="B44" s="49"/>
    </row>
    <row r="45" ht="15.75" customHeight="1">
      <c r="A45" s="82"/>
      <c r="B45" s="49"/>
      <c r="H45" s="3"/>
      <c r="I45" s="83"/>
    </row>
    <row r="46" ht="15.75" customHeight="1">
      <c r="A46" s="59"/>
      <c r="B46" s="49"/>
      <c r="H46" s="3"/>
      <c r="I46" s="83"/>
    </row>
    <row r="47" ht="15.75" customHeight="1">
      <c r="A47" s="59"/>
      <c r="B47" s="49"/>
      <c r="H47" s="3"/>
      <c r="I47" s="83"/>
    </row>
    <row r="48" ht="15.75" customHeight="1">
      <c r="A48" s="59"/>
      <c r="B48" s="49"/>
      <c r="H48" s="3"/>
      <c r="I48" s="83"/>
    </row>
    <row r="49" ht="15.75" customHeight="1">
      <c r="A49" s="59"/>
      <c r="B49" s="49"/>
      <c r="H49" s="3"/>
      <c r="I49" s="8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8" max="8" width="14.38"/>
    <col customWidth="1" min="11" max="11" width="14.63"/>
    <col customWidth="1" min="12" max="12" width="16.38"/>
  </cols>
  <sheetData>
    <row r="1" ht="15.75" customHeight="1">
      <c r="A1" s="66" t="s">
        <v>49</v>
      </c>
      <c r="B1" s="67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7" t="s">
        <v>2</v>
      </c>
      <c r="B3" s="29" t="s">
        <v>3</v>
      </c>
      <c r="C3" s="29" t="s">
        <v>4</v>
      </c>
      <c r="D3" s="29" t="s">
        <v>5</v>
      </c>
      <c r="E3" s="30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14</v>
      </c>
      <c r="M3" s="29" t="s">
        <v>13</v>
      </c>
      <c r="N3" s="30" t="s">
        <v>15</v>
      </c>
      <c r="O3" s="30" t="s">
        <v>16</v>
      </c>
      <c r="P3" s="30" t="s">
        <v>17</v>
      </c>
      <c r="Q3" s="30" t="s">
        <v>20</v>
      </c>
      <c r="R3" s="30" t="s">
        <v>21</v>
      </c>
      <c r="S3" s="29" t="s">
        <v>22</v>
      </c>
      <c r="T3" s="29" t="s">
        <v>23</v>
      </c>
    </row>
    <row r="4" ht="15.75" customHeight="1">
      <c r="A4" s="7" t="s">
        <v>24</v>
      </c>
      <c r="B4" s="68">
        <v>289373.0</v>
      </c>
      <c r="C4" s="32">
        <f t="shared" ref="C4:C10" si="1">G4+J4+L4</f>
        <v>1382016.54</v>
      </c>
      <c r="D4" s="33">
        <f t="shared" ref="D4:D10" si="2">B4-C4</f>
        <v>-1092643.54</v>
      </c>
      <c r="E4" s="34">
        <f t="shared" ref="E4:E5" si="3">D4/B4*100</f>
        <v>-377.5900101</v>
      </c>
      <c r="F4" s="35">
        <f t="shared" ref="F4:F5" si="4">D4/K4</f>
        <v>-3393.302919</v>
      </c>
      <c r="G4" s="68">
        <v>1261364.54</v>
      </c>
      <c r="H4" s="68">
        <v>381.0</v>
      </c>
      <c r="I4" s="68">
        <v>344.0</v>
      </c>
      <c r="J4" s="36">
        <f>270*K4</f>
        <v>86940</v>
      </c>
      <c r="K4" s="68">
        <v>322.0</v>
      </c>
      <c r="L4" s="69">
        <f t="shared" ref="L4:L10" si="5">I4*98</f>
        <v>33712</v>
      </c>
      <c r="M4" s="68">
        <v>15.0</v>
      </c>
      <c r="N4" s="39">
        <f t="shared" ref="N4:N10" si="6">M4/I4*100</f>
        <v>4.360465116</v>
      </c>
      <c r="O4" s="70">
        <f t="shared" ref="O4:O10" si="7">I4/H4*100</f>
        <v>90.28871391</v>
      </c>
      <c r="P4" s="40">
        <f t="shared" ref="P4:P10" si="8">K4/I4*100</f>
        <v>93.60465116</v>
      </c>
      <c r="Q4" s="35">
        <f t="shared" ref="Q4:Q10" si="9">G4/H4</f>
        <v>3310.668084</v>
      </c>
      <c r="R4" s="35">
        <f t="shared" ref="R4:R10" si="10">G4/I4</f>
        <v>3666.757384</v>
      </c>
      <c r="S4" s="35">
        <f t="shared" ref="S4:S10" si="11">G4/K4</f>
        <v>3917.28118</v>
      </c>
      <c r="T4" s="35">
        <f t="shared" ref="T4:T10" si="12">100-O4</f>
        <v>9.711286089</v>
      </c>
    </row>
    <row r="5" ht="15.75" customHeight="1">
      <c r="A5" s="7" t="s">
        <v>25</v>
      </c>
      <c r="B5" s="68">
        <v>1049395.0</v>
      </c>
      <c r="C5" s="32">
        <f t="shared" si="1"/>
        <v>475440</v>
      </c>
      <c r="D5" s="33">
        <f t="shared" si="2"/>
        <v>573955</v>
      </c>
      <c r="E5" s="34">
        <f t="shared" si="3"/>
        <v>54.69389505</v>
      </c>
      <c r="F5" s="35">
        <f t="shared" si="4"/>
        <v>566.030572</v>
      </c>
      <c r="G5" s="68">
        <v>0.0</v>
      </c>
      <c r="H5" s="68">
        <v>1250.0</v>
      </c>
      <c r="I5" s="68">
        <v>1230.0</v>
      </c>
      <c r="J5" s="36">
        <f>350*K5</f>
        <v>354900</v>
      </c>
      <c r="K5" s="68">
        <v>1014.0</v>
      </c>
      <c r="L5" s="69">
        <f t="shared" si="5"/>
        <v>120540</v>
      </c>
      <c r="M5" s="68">
        <v>80.0</v>
      </c>
      <c r="N5" s="39">
        <f t="shared" si="6"/>
        <v>6.504065041</v>
      </c>
      <c r="O5" s="70">
        <f t="shared" si="7"/>
        <v>98.4</v>
      </c>
      <c r="P5" s="40">
        <f t="shared" si="8"/>
        <v>82.43902439</v>
      </c>
      <c r="Q5" s="35">
        <f t="shared" si="9"/>
        <v>0</v>
      </c>
      <c r="R5" s="35">
        <f t="shared" si="10"/>
        <v>0</v>
      </c>
      <c r="S5" s="35">
        <f t="shared" si="11"/>
        <v>0</v>
      </c>
      <c r="T5" s="35">
        <f t="shared" si="12"/>
        <v>1.6</v>
      </c>
    </row>
    <row r="6" ht="15.75" customHeight="1">
      <c r="A6" s="7" t="s">
        <v>26</v>
      </c>
      <c r="B6" s="68">
        <v>0.0</v>
      </c>
      <c r="C6" s="32">
        <f t="shared" si="1"/>
        <v>0</v>
      </c>
      <c r="D6" s="33">
        <f t="shared" si="2"/>
        <v>0</v>
      </c>
      <c r="E6" s="34">
        <v>0.0</v>
      </c>
      <c r="F6" s="35">
        <v>0.0</v>
      </c>
      <c r="G6" s="68">
        <v>0.0</v>
      </c>
      <c r="H6" s="68">
        <v>0.0</v>
      </c>
      <c r="I6" s="68">
        <v>0.0</v>
      </c>
      <c r="J6" s="36">
        <f> 980*K6</f>
        <v>0</v>
      </c>
      <c r="K6" s="68">
        <v>0.0</v>
      </c>
      <c r="L6" s="69">
        <f t="shared" si="5"/>
        <v>0</v>
      </c>
      <c r="M6" s="68">
        <v>0.0</v>
      </c>
      <c r="N6" s="39" t="str">
        <f t="shared" si="6"/>
        <v>#DIV/0!</v>
      </c>
      <c r="O6" s="70" t="str">
        <f t="shared" si="7"/>
        <v>#DIV/0!</v>
      </c>
      <c r="P6" s="40" t="str">
        <f t="shared" si="8"/>
        <v>#DIV/0!</v>
      </c>
      <c r="Q6" s="35" t="str">
        <f t="shared" si="9"/>
        <v>#DIV/0!</v>
      </c>
      <c r="R6" s="35" t="str">
        <f t="shared" si="10"/>
        <v>#DIV/0!</v>
      </c>
      <c r="S6" s="35" t="str">
        <f t="shared" si="11"/>
        <v>#DIV/0!</v>
      </c>
      <c r="T6" s="35" t="str">
        <f t="shared" si="12"/>
        <v>#DIV/0!</v>
      </c>
    </row>
    <row r="7" ht="15.75" customHeight="1">
      <c r="A7" s="7" t="s">
        <v>27</v>
      </c>
      <c r="B7" s="68">
        <v>45905.0</v>
      </c>
      <c r="C7" s="32">
        <f t="shared" si="1"/>
        <v>28646</v>
      </c>
      <c r="D7" s="33">
        <f t="shared" si="2"/>
        <v>17259</v>
      </c>
      <c r="E7" s="34">
        <f t="shared" ref="E7:E10" si="13">D7/B7*100</f>
        <v>37.59721163</v>
      </c>
      <c r="F7" s="35">
        <f t="shared" ref="F7:F10" si="14">D7/K7</f>
        <v>198.3793103</v>
      </c>
      <c r="G7" s="68">
        <v>0.0</v>
      </c>
      <c r="H7" s="68">
        <v>98.0</v>
      </c>
      <c r="I7" s="68">
        <v>97.0</v>
      </c>
      <c r="J7" s="36">
        <f>220*K7</f>
        <v>19140</v>
      </c>
      <c r="K7" s="68">
        <v>87.0</v>
      </c>
      <c r="L7" s="69">
        <f t="shared" si="5"/>
        <v>9506</v>
      </c>
      <c r="M7" s="68">
        <v>3.0</v>
      </c>
      <c r="N7" s="39">
        <f t="shared" si="6"/>
        <v>3.092783505</v>
      </c>
      <c r="O7" s="70">
        <f t="shared" si="7"/>
        <v>98.97959184</v>
      </c>
      <c r="P7" s="40">
        <f t="shared" si="8"/>
        <v>89.69072165</v>
      </c>
      <c r="Q7" s="35">
        <f t="shared" si="9"/>
        <v>0</v>
      </c>
      <c r="R7" s="35">
        <f t="shared" si="10"/>
        <v>0</v>
      </c>
      <c r="S7" s="35">
        <f t="shared" si="11"/>
        <v>0</v>
      </c>
      <c r="T7" s="35">
        <f t="shared" si="12"/>
        <v>1.020408163</v>
      </c>
    </row>
    <row r="8" ht="15.75" customHeight="1">
      <c r="A8" s="7" t="s">
        <v>28</v>
      </c>
      <c r="B8" s="68">
        <v>32227.0</v>
      </c>
      <c r="C8" s="32">
        <f t="shared" si="1"/>
        <v>12462</v>
      </c>
      <c r="D8" s="33">
        <f t="shared" si="2"/>
        <v>19765</v>
      </c>
      <c r="E8" s="34">
        <f t="shared" si="13"/>
        <v>61.33056133</v>
      </c>
      <c r="F8" s="35">
        <f t="shared" si="14"/>
        <v>617.65625</v>
      </c>
      <c r="G8" s="68">
        <v>0.0</v>
      </c>
      <c r="H8" s="68">
        <v>40.0</v>
      </c>
      <c r="I8" s="68">
        <v>39.0</v>
      </c>
      <c r="J8" s="36">
        <f>270*K8</f>
        <v>8640</v>
      </c>
      <c r="K8" s="68">
        <v>32.0</v>
      </c>
      <c r="L8" s="69">
        <f t="shared" si="5"/>
        <v>3822</v>
      </c>
      <c r="M8" s="68">
        <v>3.0</v>
      </c>
      <c r="N8" s="39">
        <f t="shared" si="6"/>
        <v>7.692307692</v>
      </c>
      <c r="O8" s="70">
        <f t="shared" si="7"/>
        <v>97.5</v>
      </c>
      <c r="P8" s="40">
        <f t="shared" si="8"/>
        <v>82.05128205</v>
      </c>
      <c r="Q8" s="35">
        <f t="shared" si="9"/>
        <v>0</v>
      </c>
      <c r="R8" s="35">
        <f t="shared" si="10"/>
        <v>0</v>
      </c>
      <c r="S8" s="35">
        <f t="shared" si="11"/>
        <v>0</v>
      </c>
      <c r="T8" s="35">
        <f t="shared" si="12"/>
        <v>2.5</v>
      </c>
    </row>
    <row r="9" ht="15.75" customHeight="1">
      <c r="A9" s="7" t="s">
        <v>29</v>
      </c>
      <c r="B9" s="68">
        <v>923301.0</v>
      </c>
      <c r="C9" s="32">
        <f t="shared" si="1"/>
        <v>333248</v>
      </c>
      <c r="D9" s="33">
        <f t="shared" si="2"/>
        <v>590053</v>
      </c>
      <c r="E9" s="34">
        <f t="shared" si="13"/>
        <v>63.90689493</v>
      </c>
      <c r="F9" s="35">
        <f t="shared" si="14"/>
        <v>769.2998696</v>
      </c>
      <c r="G9" s="68">
        <v>0.0</v>
      </c>
      <c r="H9" s="68">
        <v>916.0</v>
      </c>
      <c r="I9" s="68">
        <v>896.0</v>
      </c>
      <c r="J9" s="36">
        <f>320*K9</f>
        <v>245440</v>
      </c>
      <c r="K9" s="68">
        <v>767.0</v>
      </c>
      <c r="L9" s="69">
        <f t="shared" si="5"/>
        <v>87808</v>
      </c>
      <c r="M9" s="68">
        <v>47.0</v>
      </c>
      <c r="N9" s="39">
        <f t="shared" si="6"/>
        <v>5.245535714</v>
      </c>
      <c r="O9" s="70">
        <f t="shared" si="7"/>
        <v>97.81659389</v>
      </c>
      <c r="P9" s="40">
        <f t="shared" si="8"/>
        <v>85.60267857</v>
      </c>
      <c r="Q9" s="35">
        <f t="shared" si="9"/>
        <v>0</v>
      </c>
      <c r="R9" s="35">
        <f t="shared" si="10"/>
        <v>0</v>
      </c>
      <c r="S9" s="35">
        <f t="shared" si="11"/>
        <v>0</v>
      </c>
      <c r="T9" s="35">
        <f t="shared" si="12"/>
        <v>2.183406114</v>
      </c>
    </row>
    <row r="10" ht="15.75" customHeight="1">
      <c r="A10" s="7" t="s">
        <v>30</v>
      </c>
      <c r="B10" s="68">
        <v>79395.0</v>
      </c>
      <c r="C10" s="32">
        <f t="shared" si="1"/>
        <v>29224</v>
      </c>
      <c r="D10" s="33">
        <f t="shared" si="2"/>
        <v>50171</v>
      </c>
      <c r="E10" s="34">
        <f t="shared" si="13"/>
        <v>63.19163675</v>
      </c>
      <c r="F10" s="35">
        <f t="shared" si="14"/>
        <v>1045.229167</v>
      </c>
      <c r="G10" s="68">
        <v>0.0</v>
      </c>
      <c r="H10" s="68">
        <v>71.0</v>
      </c>
      <c r="I10" s="68">
        <v>68.0</v>
      </c>
      <c r="J10" s="36">
        <f>470*K10</f>
        <v>22560</v>
      </c>
      <c r="K10" s="68">
        <v>48.0</v>
      </c>
      <c r="L10" s="69">
        <f t="shared" si="5"/>
        <v>6664</v>
      </c>
      <c r="M10" s="68">
        <v>1.0</v>
      </c>
      <c r="N10" s="39">
        <f t="shared" si="6"/>
        <v>1.470588235</v>
      </c>
      <c r="O10" s="70">
        <f t="shared" si="7"/>
        <v>95.77464789</v>
      </c>
      <c r="P10" s="40">
        <f t="shared" si="8"/>
        <v>70.58823529</v>
      </c>
      <c r="Q10" s="35">
        <f t="shared" si="9"/>
        <v>0</v>
      </c>
      <c r="R10" s="35">
        <f t="shared" si="10"/>
        <v>0</v>
      </c>
      <c r="S10" s="35">
        <f t="shared" si="11"/>
        <v>0</v>
      </c>
      <c r="T10" s="35">
        <f t="shared" si="12"/>
        <v>4.225352113</v>
      </c>
    </row>
    <row r="11" ht="15.75" customHeight="1">
      <c r="B11" s="21">
        <f>SUM(B4:B10)+200000</f>
        <v>2619596</v>
      </c>
      <c r="C11" s="21">
        <f>SUM(C4:C10)</f>
        <v>2261036.54</v>
      </c>
      <c r="G11" s="21">
        <f>1068953*1.18</f>
        <v>1261364.54</v>
      </c>
      <c r="H11" s="21">
        <f>SUM(H4:H10)</f>
        <v>2756</v>
      </c>
      <c r="J11" s="21">
        <f>SUM(J4:J10)</f>
        <v>737620</v>
      </c>
      <c r="L11" s="21">
        <f>SUM(L4:L10)</f>
        <v>262052</v>
      </c>
    </row>
    <row r="12" ht="15.75" customHeight="1"/>
    <row r="13" ht="15.75" customHeight="1">
      <c r="A13" s="71" t="s">
        <v>32</v>
      </c>
      <c r="B13" s="72">
        <f>B11</f>
        <v>2619596</v>
      </c>
      <c r="C13" s="3"/>
      <c r="D13" s="84"/>
      <c r="E13" s="80"/>
    </row>
    <row r="14" ht="15.75" customHeight="1">
      <c r="A14" s="71" t="s">
        <v>50</v>
      </c>
      <c r="B14" s="72">
        <f>J11</f>
        <v>737620</v>
      </c>
      <c r="C14" s="3"/>
      <c r="D14" s="84"/>
      <c r="E14" s="80"/>
    </row>
    <row r="15" ht="15.75" customHeight="1">
      <c r="A15" s="71" t="s">
        <v>51</v>
      </c>
      <c r="B15" s="72">
        <f>L11</f>
        <v>262052</v>
      </c>
      <c r="C15" s="3"/>
      <c r="D15" s="84"/>
      <c r="E15" s="80"/>
    </row>
    <row r="16" ht="15.75" customHeight="1">
      <c r="A16" s="71" t="s">
        <v>52</v>
      </c>
      <c r="B16" s="72">
        <f>G11</f>
        <v>1261364.54</v>
      </c>
      <c r="C16" s="3"/>
      <c r="D16" s="84"/>
      <c r="E16" s="80"/>
    </row>
    <row r="17" ht="15.75" customHeight="1">
      <c r="A17" s="71" t="s">
        <v>36</v>
      </c>
      <c r="B17" s="72">
        <f>B13-(B14+B15+B16)</f>
        <v>358559.46</v>
      </c>
      <c r="C17" s="3"/>
      <c r="D17" s="84"/>
      <c r="E17" s="80"/>
    </row>
    <row r="18" ht="15.75" customHeight="1">
      <c r="A18" s="71" t="s">
        <v>38</v>
      </c>
      <c r="B18" s="72">
        <f>B17/B13*100</f>
        <v>13.68758618</v>
      </c>
      <c r="C18" s="3"/>
      <c r="D18" s="3"/>
      <c r="E18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A24" s="21" t="s">
        <v>39</v>
      </c>
    </row>
    <row r="25" ht="15.75" customHeight="1">
      <c r="A25" s="54" t="s">
        <v>45</v>
      </c>
      <c r="B25" s="55" t="s">
        <v>3</v>
      </c>
      <c r="C25" s="55" t="s">
        <v>4</v>
      </c>
      <c r="D25" s="55" t="s">
        <v>5</v>
      </c>
      <c r="E25" s="56" t="s">
        <v>6</v>
      </c>
      <c r="F25" s="55" t="s">
        <v>7</v>
      </c>
      <c r="G25" s="55" t="s">
        <v>9</v>
      </c>
      <c r="H25" s="55" t="s">
        <v>11</v>
      </c>
      <c r="I25" s="55" t="s">
        <v>12</v>
      </c>
      <c r="J25" s="55" t="s">
        <v>42</v>
      </c>
      <c r="K25" s="55" t="s">
        <v>43</v>
      </c>
      <c r="L25" s="56" t="s">
        <v>15</v>
      </c>
      <c r="M25" s="21" t="s">
        <v>53</v>
      </c>
      <c r="P25" s="22">
        <v>1076239.03</v>
      </c>
      <c r="Q25" s="21">
        <v>252057.0</v>
      </c>
      <c r="R25" s="22">
        <f t="shared" ref="R25:R31" si="15">P25-Q25</f>
        <v>824182.03</v>
      </c>
    </row>
    <row r="26" ht="15.75" customHeight="1">
      <c r="A26" s="11" t="s">
        <v>24</v>
      </c>
      <c r="B26" s="12">
        <f>8057.28+1752357.92</f>
        <v>1760415.2</v>
      </c>
      <c r="C26" s="13">
        <f t="shared" ref="C26:C32" si="16">K26+H26</f>
        <v>862563.47</v>
      </c>
      <c r="D26" s="57">
        <f t="shared" ref="D26:D32" si="17">B26-C26</f>
        <v>897851.73</v>
      </c>
      <c r="E26" s="15">
        <f t="shared" ref="E26:E32" si="18">D26/B26*100</f>
        <v>51.00227094</v>
      </c>
      <c r="F26" s="16">
        <f t="shared" ref="F26:F32" si="19">D26/I26</f>
        <v>473.3008593</v>
      </c>
      <c r="G26" s="12">
        <f>2144+8</f>
        <v>2152</v>
      </c>
      <c r="H26" s="36">
        <f>270*I26</f>
        <v>512190</v>
      </c>
      <c r="I26" s="12">
        <f>6+1891</f>
        <v>1897</v>
      </c>
      <c r="J26" s="12">
        <f t="shared" ref="J26:J32" si="20">G26-I26</f>
        <v>255</v>
      </c>
      <c r="K26" s="12">
        <f>346656.27+3717.2</f>
        <v>350373.47</v>
      </c>
      <c r="L26" s="58">
        <f t="shared" ref="L26:L27" si="21">J26/G26*100</f>
        <v>11.84944238</v>
      </c>
      <c r="M26" s="21">
        <f>2668.81+159583.93</f>
        <v>162252.74</v>
      </c>
      <c r="P26" s="22">
        <v>312552.14</v>
      </c>
      <c r="Q26" s="21">
        <v>7405.0</v>
      </c>
      <c r="R26" s="22">
        <f t="shared" si="15"/>
        <v>305147.14</v>
      </c>
    </row>
    <row r="27" ht="15.75" customHeight="1">
      <c r="A27" s="11" t="s">
        <v>25</v>
      </c>
      <c r="B27" s="12">
        <f>4613.04+599347.37</f>
        <v>603960.41</v>
      </c>
      <c r="C27" s="13">
        <f t="shared" si="16"/>
        <v>314104.06</v>
      </c>
      <c r="D27" s="57">
        <f t="shared" si="17"/>
        <v>289856.35</v>
      </c>
      <c r="E27" s="15">
        <f t="shared" si="18"/>
        <v>47.99260766</v>
      </c>
      <c r="F27" s="16">
        <f t="shared" si="19"/>
        <v>520.3884201</v>
      </c>
      <c r="G27" s="12">
        <f>628+6</f>
        <v>634</v>
      </c>
      <c r="H27" s="36">
        <f>350*I27</f>
        <v>194950</v>
      </c>
      <c r="I27" s="12">
        <f>553+4</f>
        <v>557</v>
      </c>
      <c r="J27" s="12">
        <f t="shared" si="20"/>
        <v>77</v>
      </c>
      <c r="K27" s="12">
        <f>4018.02+115136.04</f>
        <v>119154.06</v>
      </c>
      <c r="L27" s="58">
        <f t="shared" si="21"/>
        <v>12.14511041</v>
      </c>
      <c r="M27" s="21">
        <f>38608.72+3187.12</f>
        <v>41795.84</v>
      </c>
      <c r="P27" s="22">
        <v>84049.91</v>
      </c>
      <c r="Q27" s="21">
        <v>4163.0</v>
      </c>
      <c r="R27" s="22">
        <f t="shared" si="15"/>
        <v>79886.91</v>
      </c>
    </row>
    <row r="28" ht="15.75" customHeight="1">
      <c r="A28" s="11" t="s">
        <v>26</v>
      </c>
      <c r="B28" s="12">
        <v>0.0</v>
      </c>
      <c r="C28" s="13">
        <f t="shared" si="16"/>
        <v>0</v>
      </c>
      <c r="D28" s="57">
        <f t="shared" si="17"/>
        <v>0</v>
      </c>
      <c r="E28" s="15" t="str">
        <f t="shared" si="18"/>
        <v>#DIV/0!</v>
      </c>
      <c r="F28" s="16" t="str">
        <f t="shared" si="19"/>
        <v>#DIV/0!</v>
      </c>
      <c r="G28" s="12">
        <v>0.0</v>
      </c>
      <c r="H28" s="36">
        <f> 980*I28</f>
        <v>0</v>
      </c>
      <c r="I28" s="12">
        <v>0.0</v>
      </c>
      <c r="J28" s="12">
        <f t="shared" si="20"/>
        <v>0</v>
      </c>
      <c r="K28" s="12">
        <v>0.0</v>
      </c>
      <c r="L28" s="58">
        <v>0.0</v>
      </c>
      <c r="P28" s="22">
        <v>960893.46</v>
      </c>
      <c r="Q28" s="21">
        <v>284095.0</v>
      </c>
      <c r="R28" s="22">
        <f t="shared" si="15"/>
        <v>676798.46</v>
      </c>
    </row>
    <row r="29" ht="15.75" customHeight="1">
      <c r="A29" s="11" t="s">
        <v>27</v>
      </c>
      <c r="B29" s="12">
        <f>632223.87+579.46
</f>
        <v>632803.33</v>
      </c>
      <c r="C29" s="13">
        <f t="shared" si="16"/>
        <v>440764.23</v>
      </c>
      <c r="D29" s="57">
        <f t="shared" si="17"/>
        <v>192039.1</v>
      </c>
      <c r="E29" s="15">
        <f t="shared" si="18"/>
        <v>30.34735927</v>
      </c>
      <c r="F29" s="16">
        <f t="shared" si="19"/>
        <v>142.1458919</v>
      </c>
      <c r="G29" s="12">
        <v>1544.0</v>
      </c>
      <c r="H29" s="36">
        <f>220*I29</f>
        <v>297220</v>
      </c>
      <c r="I29" s="12">
        <v>1351.0</v>
      </c>
      <c r="J29" s="12">
        <f t="shared" si="20"/>
        <v>193</v>
      </c>
      <c r="K29" s="12">
        <f>143449.23+95</f>
        <v>143544.23</v>
      </c>
      <c r="L29" s="58">
        <f t="shared" ref="L29:L32" si="22">J29/G29*100</f>
        <v>12.5</v>
      </c>
      <c r="M29" s="21">
        <f> 62679.49</f>
        <v>62679.49</v>
      </c>
      <c r="P29" s="22">
        <v>1343322.48</v>
      </c>
      <c r="Q29" s="21">
        <v>466885.0</v>
      </c>
      <c r="R29" s="22">
        <f t="shared" si="15"/>
        <v>876437.48</v>
      </c>
    </row>
    <row r="30" ht="15.75" customHeight="1">
      <c r="A30" s="11" t="s">
        <v>28</v>
      </c>
      <c r="B30" s="12">
        <f>38775.54</f>
        <v>38775.54</v>
      </c>
      <c r="C30" s="13">
        <f t="shared" si="16"/>
        <v>29963.57</v>
      </c>
      <c r="D30" s="57">
        <f t="shared" si="17"/>
        <v>8811.97</v>
      </c>
      <c r="E30" s="15">
        <f t="shared" si="18"/>
        <v>22.72558938</v>
      </c>
      <c r="F30" s="16">
        <f t="shared" si="19"/>
        <v>225.9479487</v>
      </c>
      <c r="G30" s="12">
        <v>48.0</v>
      </c>
      <c r="H30" s="36">
        <f>270*I30</f>
        <v>10530</v>
      </c>
      <c r="I30" s="12">
        <v>39.0</v>
      </c>
      <c r="J30" s="12">
        <f t="shared" si="20"/>
        <v>9</v>
      </c>
      <c r="K30" s="12">
        <f>19433.57</f>
        <v>19433.57</v>
      </c>
      <c r="L30" s="58">
        <f t="shared" si="22"/>
        <v>18.75</v>
      </c>
      <c r="M30" s="21">
        <f>13953.68</f>
        <v>13953.68</v>
      </c>
      <c r="P30" s="22">
        <v>208445.6</v>
      </c>
      <c r="Q30" s="21">
        <v>9463.0</v>
      </c>
      <c r="R30" s="22">
        <f t="shared" si="15"/>
        <v>198982.6</v>
      </c>
    </row>
    <row r="31" ht="15.75" customHeight="1">
      <c r="A31" s="11" t="s">
        <v>29</v>
      </c>
      <c r="B31" s="12">
        <f>449719.71+147242.36</f>
        <v>596962.07</v>
      </c>
      <c r="C31" s="13">
        <f t="shared" si="16"/>
        <v>285909.15</v>
      </c>
      <c r="D31" s="57">
        <f t="shared" si="17"/>
        <v>311052.92</v>
      </c>
      <c r="E31" s="15">
        <f t="shared" si="18"/>
        <v>52.10597719</v>
      </c>
      <c r="F31" s="16">
        <f t="shared" si="19"/>
        <v>608.7141292</v>
      </c>
      <c r="G31" s="12">
        <f>127+463</f>
        <v>590</v>
      </c>
      <c r="H31" s="36">
        <f>320*I31</f>
        <v>163520</v>
      </c>
      <c r="I31" s="12">
        <f>390+121</f>
        <v>511</v>
      </c>
      <c r="J31" s="12">
        <f t="shared" si="20"/>
        <v>79</v>
      </c>
      <c r="K31" s="12">
        <f>97748.09 +24641.06</f>
        <v>122389.15</v>
      </c>
      <c r="L31" s="58">
        <f t="shared" si="22"/>
        <v>13.38983051</v>
      </c>
      <c r="M31" s="21">
        <f>8531.52+37930.44</f>
        <v>46461.96</v>
      </c>
      <c r="P31" s="22">
        <v>548969.15</v>
      </c>
      <c r="Q31" s="21">
        <v>32003.0</v>
      </c>
      <c r="R31" s="22">
        <f t="shared" si="15"/>
        <v>516966.15</v>
      </c>
    </row>
    <row r="32" ht="15.75" customHeight="1">
      <c r="A32" s="11" t="s">
        <v>30</v>
      </c>
      <c r="B32" s="12">
        <f>109498.66</f>
        <v>109498.66</v>
      </c>
      <c r="C32" s="13">
        <f t="shared" si="16"/>
        <v>62439.27</v>
      </c>
      <c r="D32" s="57">
        <f t="shared" si="17"/>
        <v>47059.39</v>
      </c>
      <c r="E32" s="15">
        <f t="shared" si="18"/>
        <v>42.9771378</v>
      </c>
      <c r="F32" s="16">
        <f t="shared" si="19"/>
        <v>566.9806024</v>
      </c>
      <c r="G32" s="12">
        <v>99.0</v>
      </c>
      <c r="H32" s="36">
        <f>470*I32</f>
        <v>39010</v>
      </c>
      <c r="I32" s="12">
        <v>83.0</v>
      </c>
      <c r="J32" s="12">
        <f t="shared" si="20"/>
        <v>16</v>
      </c>
      <c r="K32" s="12">
        <f>23429.27</f>
        <v>23429.27</v>
      </c>
      <c r="L32" s="58">
        <f t="shared" si="22"/>
        <v>16.16161616</v>
      </c>
      <c r="M32" s="21">
        <v>150000.0</v>
      </c>
    </row>
    <row r="33" ht="15.75" customHeight="1">
      <c r="B33" s="22">
        <f>R33</f>
        <v>3478400.77</v>
      </c>
      <c r="C33" s="21">
        <f t="shared" ref="C33:D33" si="23">SUM(C26:C32)</f>
        <v>1995743.75</v>
      </c>
      <c r="D33" s="81">
        <f t="shared" si="23"/>
        <v>1746671.46</v>
      </c>
      <c r="G33" s="21">
        <f t="shared" ref="G33:H33" si="24">SUM(G26:G32)</f>
        <v>5067</v>
      </c>
      <c r="H33" s="21">
        <f t="shared" si="24"/>
        <v>1217420</v>
      </c>
      <c r="K33" s="21">
        <f>SUM(K26:K32)</f>
        <v>778323.75</v>
      </c>
      <c r="L33" s="22">
        <f>AVERAGE(L26:L32)</f>
        <v>12.11371421</v>
      </c>
      <c r="M33" s="85">
        <f>SUM(M26:M32)</f>
        <v>477143.71</v>
      </c>
      <c r="P33" s="22">
        <f>SUM(P25:P31)</f>
        <v>4534471.77</v>
      </c>
      <c r="R33" s="22">
        <f>SUM(R25:R31)</f>
        <v>3478400.77</v>
      </c>
    </row>
    <row r="34" ht="15.75" customHeight="1"/>
    <row r="35" ht="15.75" customHeight="1"/>
    <row r="36" ht="15.75" customHeight="1">
      <c r="A36" s="71" t="s">
        <v>32</v>
      </c>
      <c r="B36" s="86">
        <f>B33</f>
        <v>3478400.77</v>
      </c>
    </row>
    <row r="37" ht="15.75" customHeight="1">
      <c r="A37" s="71" t="s">
        <v>50</v>
      </c>
      <c r="B37" s="72">
        <f>H33</f>
        <v>1217420</v>
      </c>
    </row>
    <row r="38" ht="15.75" customHeight="1">
      <c r="A38" s="71" t="s">
        <v>54</v>
      </c>
      <c r="B38" s="87">
        <f>K33-M33</f>
        <v>301180.04</v>
      </c>
    </row>
    <row r="39" ht="15.75" customHeight="1">
      <c r="A39" s="71" t="s">
        <v>52</v>
      </c>
      <c r="B39" s="72">
        <f>M33*1.18</f>
        <v>563029.5778</v>
      </c>
    </row>
    <row r="40" ht="15.75" customHeight="1">
      <c r="A40" s="71" t="s">
        <v>36</v>
      </c>
      <c r="B40" s="86">
        <f>B36-(B37+B38+B39)</f>
        <v>1396771.152</v>
      </c>
    </row>
    <row r="41" ht="15.75" customHeight="1">
      <c r="A41" s="71" t="s">
        <v>38</v>
      </c>
      <c r="B41" s="72">
        <f>B40/B36*100</f>
        <v>40.15555551</v>
      </c>
    </row>
    <row r="42" ht="15.75" customHeight="1"/>
    <row r="43" ht="15.75" customHeight="1"/>
    <row r="44" ht="15.75" customHeight="1">
      <c r="F44" s="3" t="s">
        <v>55</v>
      </c>
      <c r="G44" s="45">
        <v>450000.0</v>
      </c>
    </row>
    <row r="45" ht="15.75" customHeight="1">
      <c r="F45" s="3" t="s">
        <v>56</v>
      </c>
      <c r="G45" s="45">
        <f>19000+18000+13000</f>
        <v>50000</v>
      </c>
    </row>
    <row r="46" ht="15.75" customHeight="1">
      <c r="F46" s="3" t="s">
        <v>57</v>
      </c>
      <c r="G46" s="45">
        <v>90000.0</v>
      </c>
      <c r="H46" s="21" t="s">
        <v>45</v>
      </c>
    </row>
    <row r="47" ht="15.75" customHeight="1">
      <c r="F47" s="3" t="s">
        <v>58</v>
      </c>
      <c r="G47" s="45">
        <v>20000.0</v>
      </c>
    </row>
    <row r="48" ht="15.75" customHeight="1">
      <c r="A48" s="59"/>
      <c r="B48" s="88"/>
      <c r="F48" s="3" t="s">
        <v>59</v>
      </c>
      <c r="G48" s="45">
        <v>100000.0</v>
      </c>
    </row>
    <row r="49" ht="15.75" customHeight="1">
      <c r="A49" s="82"/>
      <c r="B49" s="89"/>
      <c r="C49" s="21"/>
      <c r="F49" s="46" t="s">
        <v>60</v>
      </c>
      <c r="G49" s="47">
        <f>SUM(G44:G48)</f>
        <v>710000</v>
      </c>
    </row>
    <row r="50" ht="15.75" customHeight="1">
      <c r="A50" s="59"/>
      <c r="B50" s="90"/>
      <c r="C50" s="21"/>
    </row>
    <row r="51" ht="15.75" customHeight="1">
      <c r="A51" s="82"/>
      <c r="B51" s="90"/>
      <c r="C51" s="21"/>
    </row>
    <row r="52" ht="15.75" customHeight="1">
      <c r="A52" s="59"/>
      <c r="B52" s="89"/>
      <c r="C52" s="21"/>
    </row>
    <row r="53" ht="15.75" customHeight="1">
      <c r="A53" s="89"/>
      <c r="B53" s="90"/>
    </row>
    <row r="54" ht="15.75" customHeight="1">
      <c r="A54" s="89"/>
      <c r="B54" s="88"/>
    </row>
    <row r="55" ht="15.75" customHeight="1">
      <c r="A55" s="89"/>
      <c r="B55" s="9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5" max="6" width="13.25"/>
    <col customWidth="1" min="7" max="7" width="11.5"/>
    <col customWidth="1" min="8" max="8" width="15.75"/>
    <col customWidth="1" min="11" max="11" width="16.5"/>
    <col customWidth="1" min="12" max="12" width="16.38"/>
    <col customWidth="1" min="13" max="13" width="13.88"/>
  </cols>
  <sheetData>
    <row r="1" ht="15.75" customHeight="1">
      <c r="A1" s="92" t="s">
        <v>61</v>
      </c>
      <c r="B1" s="9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7" t="s">
        <v>2</v>
      </c>
      <c r="B3" s="29" t="s">
        <v>3</v>
      </c>
      <c r="C3" s="29" t="s">
        <v>4</v>
      </c>
      <c r="D3" s="29" t="s">
        <v>5</v>
      </c>
      <c r="E3" s="30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14</v>
      </c>
      <c r="M3" s="29" t="s">
        <v>13</v>
      </c>
      <c r="N3" s="30" t="s">
        <v>15</v>
      </c>
      <c r="O3" s="30" t="s">
        <v>16</v>
      </c>
      <c r="P3" s="30" t="s">
        <v>17</v>
      </c>
      <c r="Q3" s="30" t="s">
        <v>20</v>
      </c>
      <c r="R3" s="30" t="s">
        <v>21</v>
      </c>
      <c r="S3" s="29" t="s">
        <v>22</v>
      </c>
      <c r="T3" s="29" t="s">
        <v>23</v>
      </c>
    </row>
    <row r="4" ht="15.75" customHeight="1">
      <c r="A4" s="7" t="s">
        <v>24</v>
      </c>
      <c r="B4" s="68">
        <v>84967.0</v>
      </c>
      <c r="C4" s="32">
        <f t="shared" ref="C4:C10" si="1">G4+J4+L4</f>
        <v>29460</v>
      </c>
      <c r="D4" s="33">
        <f t="shared" ref="D4:D10" si="2">B4-C4</f>
        <v>55507</v>
      </c>
      <c r="E4" s="34">
        <f t="shared" ref="E4:E5" si="3">D4/B4*100</f>
        <v>65.32771547</v>
      </c>
      <c r="F4" s="35">
        <f t="shared" ref="F4:F5" si="4">D4/K4</f>
        <v>711.6282051</v>
      </c>
      <c r="G4" s="68">
        <v>0.0</v>
      </c>
      <c r="H4" s="68">
        <v>84.0</v>
      </c>
      <c r="I4" s="68">
        <v>84.0</v>
      </c>
      <c r="J4" s="36">
        <f>270*K4</f>
        <v>21060</v>
      </c>
      <c r="K4" s="68">
        <v>78.0</v>
      </c>
      <c r="L4" s="69">
        <f t="shared" ref="L4:L10" si="5">I4*100</f>
        <v>8400</v>
      </c>
      <c r="M4" s="68">
        <f>I4-K4</f>
        <v>6</v>
      </c>
      <c r="N4" s="39">
        <f t="shared" ref="N4:N10" si="6">M4/I4*100</f>
        <v>7.142857143</v>
      </c>
      <c r="O4" s="70">
        <f t="shared" ref="O4:O10" si="7">I4/H4*100</f>
        <v>100</v>
      </c>
      <c r="P4" s="40">
        <f t="shared" ref="P4:P10" si="8">K4/I4*100</f>
        <v>92.85714286</v>
      </c>
      <c r="Q4" s="35">
        <f t="shared" ref="Q4:Q10" si="9">G4/H4</f>
        <v>0</v>
      </c>
      <c r="R4" s="35">
        <f t="shared" ref="R4:R10" si="10">G4/I4</f>
        <v>0</v>
      </c>
      <c r="S4" s="35">
        <f t="shared" ref="S4:S10" si="11">G4/K4</f>
        <v>0</v>
      </c>
      <c r="T4" s="35">
        <f t="shared" ref="T4:T10" si="12">100-O4</f>
        <v>0</v>
      </c>
    </row>
    <row r="5" ht="15.75" customHeight="1">
      <c r="A5" s="7" t="s">
        <v>25</v>
      </c>
      <c r="B5" s="68">
        <v>193640.0</v>
      </c>
      <c r="C5" s="94">
        <f t="shared" si="1"/>
        <v>71100</v>
      </c>
      <c r="D5" s="95">
        <f t="shared" si="2"/>
        <v>122540</v>
      </c>
      <c r="E5" s="34">
        <f t="shared" si="3"/>
        <v>63.28237967</v>
      </c>
      <c r="F5" s="35">
        <f t="shared" si="4"/>
        <v>795.7142857</v>
      </c>
      <c r="G5" s="96">
        <v>0.0</v>
      </c>
      <c r="H5" s="68">
        <v>176.0</v>
      </c>
      <c r="I5" s="68">
        <v>172.0</v>
      </c>
      <c r="J5" s="36">
        <f>350*K5</f>
        <v>53900</v>
      </c>
      <c r="K5" s="68">
        <v>154.0</v>
      </c>
      <c r="L5" s="69">
        <f t="shared" si="5"/>
        <v>17200</v>
      </c>
      <c r="M5" s="68">
        <v>0.0</v>
      </c>
      <c r="N5" s="39">
        <f t="shared" si="6"/>
        <v>0</v>
      </c>
      <c r="O5" s="70">
        <f t="shared" si="7"/>
        <v>97.72727273</v>
      </c>
      <c r="P5" s="40">
        <f t="shared" si="8"/>
        <v>89.53488372</v>
      </c>
      <c r="Q5" s="35">
        <f t="shared" si="9"/>
        <v>0</v>
      </c>
      <c r="R5" s="35">
        <f t="shared" si="10"/>
        <v>0</v>
      </c>
      <c r="S5" s="35">
        <f t="shared" si="11"/>
        <v>0</v>
      </c>
      <c r="T5" s="35">
        <f t="shared" si="12"/>
        <v>2.272727273</v>
      </c>
    </row>
    <row r="6" ht="15.75" customHeight="1">
      <c r="A6" s="7" t="s">
        <v>26</v>
      </c>
      <c r="B6" s="68">
        <v>7596.0</v>
      </c>
      <c r="C6" s="32">
        <f t="shared" si="1"/>
        <v>4320</v>
      </c>
      <c r="D6" s="33">
        <f t="shared" si="2"/>
        <v>3276</v>
      </c>
      <c r="E6" s="34">
        <v>0.0</v>
      </c>
      <c r="F6" s="35">
        <v>0.0</v>
      </c>
      <c r="G6" s="68">
        <v>0.0</v>
      </c>
      <c r="H6" s="68">
        <v>7.0</v>
      </c>
      <c r="I6" s="68">
        <v>4.0</v>
      </c>
      <c r="J6" s="36">
        <f> 980*K6</f>
        <v>3920</v>
      </c>
      <c r="K6" s="68">
        <v>4.0</v>
      </c>
      <c r="L6" s="69">
        <f t="shared" si="5"/>
        <v>400</v>
      </c>
      <c r="M6" s="68">
        <f t="shared" ref="M6:M10" si="13">I6-K6</f>
        <v>0</v>
      </c>
      <c r="N6" s="39">
        <f t="shared" si="6"/>
        <v>0</v>
      </c>
      <c r="O6" s="70">
        <f t="shared" si="7"/>
        <v>57.14285714</v>
      </c>
      <c r="P6" s="40">
        <f t="shared" si="8"/>
        <v>100</v>
      </c>
      <c r="Q6" s="35">
        <f t="shared" si="9"/>
        <v>0</v>
      </c>
      <c r="R6" s="35">
        <f t="shared" si="10"/>
        <v>0</v>
      </c>
      <c r="S6" s="35">
        <f t="shared" si="11"/>
        <v>0</v>
      </c>
      <c r="T6" s="35">
        <f t="shared" si="12"/>
        <v>42.85714286</v>
      </c>
    </row>
    <row r="7" ht="15.75" customHeight="1">
      <c r="A7" s="7" t="s">
        <v>27</v>
      </c>
      <c r="B7" s="68">
        <v>30595.0</v>
      </c>
      <c r="C7" s="32">
        <f t="shared" si="1"/>
        <v>14380</v>
      </c>
      <c r="D7" s="33">
        <f t="shared" si="2"/>
        <v>16215</v>
      </c>
      <c r="E7" s="34">
        <f t="shared" ref="E7:E10" si="14">D7/B7*100</f>
        <v>52.99885602</v>
      </c>
      <c r="F7" s="35">
        <f t="shared" ref="F7:F10" si="15">D7/K7</f>
        <v>368.5227273</v>
      </c>
      <c r="G7" s="68">
        <v>0.0</v>
      </c>
      <c r="H7" s="68">
        <v>48.0</v>
      </c>
      <c r="I7" s="68">
        <v>47.0</v>
      </c>
      <c r="J7" s="36">
        <f>220*K7</f>
        <v>9680</v>
      </c>
      <c r="K7" s="68">
        <v>44.0</v>
      </c>
      <c r="L7" s="69">
        <f t="shared" si="5"/>
        <v>4700</v>
      </c>
      <c r="M7" s="68">
        <f t="shared" si="13"/>
        <v>3</v>
      </c>
      <c r="N7" s="39">
        <f t="shared" si="6"/>
        <v>6.382978723</v>
      </c>
      <c r="O7" s="70">
        <f t="shared" si="7"/>
        <v>97.91666667</v>
      </c>
      <c r="P7" s="40">
        <f t="shared" si="8"/>
        <v>93.61702128</v>
      </c>
      <c r="Q7" s="35">
        <f t="shared" si="9"/>
        <v>0</v>
      </c>
      <c r="R7" s="35">
        <f t="shared" si="10"/>
        <v>0</v>
      </c>
      <c r="S7" s="35">
        <f t="shared" si="11"/>
        <v>0</v>
      </c>
      <c r="T7" s="35">
        <f t="shared" si="12"/>
        <v>2.083333333</v>
      </c>
    </row>
    <row r="8" ht="15.75" customHeight="1">
      <c r="A8" s="7" t="s">
        <v>28</v>
      </c>
      <c r="B8" s="68">
        <v>25222.0</v>
      </c>
      <c r="C8" s="32">
        <f t="shared" si="1"/>
        <v>9350</v>
      </c>
      <c r="D8" s="33">
        <f t="shared" si="2"/>
        <v>15872</v>
      </c>
      <c r="E8" s="34">
        <f t="shared" si="14"/>
        <v>62.9291888</v>
      </c>
      <c r="F8" s="35">
        <f t="shared" si="15"/>
        <v>634.88</v>
      </c>
      <c r="G8" s="68">
        <v>0.0</v>
      </c>
      <c r="H8" s="68">
        <v>27.0</v>
      </c>
      <c r="I8" s="68">
        <v>26.0</v>
      </c>
      <c r="J8" s="36">
        <f>270*K8</f>
        <v>6750</v>
      </c>
      <c r="K8" s="68">
        <v>25.0</v>
      </c>
      <c r="L8" s="69">
        <f t="shared" si="5"/>
        <v>2600</v>
      </c>
      <c r="M8" s="68">
        <f t="shared" si="13"/>
        <v>1</v>
      </c>
      <c r="N8" s="39">
        <f t="shared" si="6"/>
        <v>3.846153846</v>
      </c>
      <c r="O8" s="70">
        <f t="shared" si="7"/>
        <v>96.2962963</v>
      </c>
      <c r="P8" s="40">
        <f t="shared" si="8"/>
        <v>96.15384615</v>
      </c>
      <c r="Q8" s="35">
        <f t="shared" si="9"/>
        <v>0</v>
      </c>
      <c r="R8" s="35">
        <f t="shared" si="10"/>
        <v>0</v>
      </c>
      <c r="S8" s="35">
        <f t="shared" si="11"/>
        <v>0</v>
      </c>
      <c r="T8" s="35">
        <f t="shared" si="12"/>
        <v>3.703703704</v>
      </c>
    </row>
    <row r="9" ht="15.75" customHeight="1">
      <c r="A9" s="7" t="s">
        <v>29</v>
      </c>
      <c r="B9" s="68">
        <v>54807.0</v>
      </c>
      <c r="C9" s="32">
        <f t="shared" si="1"/>
        <v>17100</v>
      </c>
      <c r="D9" s="33">
        <f t="shared" si="2"/>
        <v>37707</v>
      </c>
      <c r="E9" s="34">
        <f t="shared" si="14"/>
        <v>68.79960589</v>
      </c>
      <c r="F9" s="35">
        <f t="shared" si="15"/>
        <v>942.675</v>
      </c>
      <c r="G9" s="68">
        <v>0.0</v>
      </c>
      <c r="H9" s="68">
        <v>44.0</v>
      </c>
      <c r="I9" s="68">
        <v>43.0</v>
      </c>
      <c r="J9" s="36">
        <f>320*K9</f>
        <v>12800</v>
      </c>
      <c r="K9" s="68">
        <v>40.0</v>
      </c>
      <c r="L9" s="69">
        <f t="shared" si="5"/>
        <v>4300</v>
      </c>
      <c r="M9" s="68">
        <f t="shared" si="13"/>
        <v>3</v>
      </c>
      <c r="N9" s="39">
        <f t="shared" si="6"/>
        <v>6.976744186</v>
      </c>
      <c r="O9" s="70">
        <f t="shared" si="7"/>
        <v>97.72727273</v>
      </c>
      <c r="P9" s="40">
        <f t="shared" si="8"/>
        <v>93.02325581</v>
      </c>
      <c r="Q9" s="35">
        <f t="shared" si="9"/>
        <v>0</v>
      </c>
      <c r="R9" s="35">
        <f t="shared" si="10"/>
        <v>0</v>
      </c>
      <c r="S9" s="35">
        <f t="shared" si="11"/>
        <v>0</v>
      </c>
      <c r="T9" s="35">
        <f t="shared" si="12"/>
        <v>2.272727273</v>
      </c>
    </row>
    <row r="10" ht="15.75" customHeight="1">
      <c r="A10" s="7" t="s">
        <v>30</v>
      </c>
      <c r="B10" s="68">
        <v>252584.0</v>
      </c>
      <c r="C10" s="94">
        <f t="shared" si="1"/>
        <v>108020</v>
      </c>
      <c r="D10" s="95">
        <f t="shared" si="2"/>
        <v>144564</v>
      </c>
      <c r="E10" s="34">
        <f t="shared" si="14"/>
        <v>57.23402908</v>
      </c>
      <c r="F10" s="35">
        <f t="shared" si="15"/>
        <v>777.2258065</v>
      </c>
      <c r="G10" s="96">
        <v>0.0</v>
      </c>
      <c r="H10" s="68">
        <v>212.0</v>
      </c>
      <c r="I10" s="68">
        <v>206.0</v>
      </c>
      <c r="J10" s="36">
        <f>470*K10</f>
        <v>87420</v>
      </c>
      <c r="K10" s="68">
        <v>186.0</v>
      </c>
      <c r="L10" s="69">
        <f t="shared" si="5"/>
        <v>20600</v>
      </c>
      <c r="M10" s="68">
        <f t="shared" si="13"/>
        <v>20</v>
      </c>
      <c r="N10" s="39">
        <f t="shared" si="6"/>
        <v>9.708737864</v>
      </c>
      <c r="O10" s="70">
        <f t="shared" si="7"/>
        <v>97.16981132</v>
      </c>
      <c r="P10" s="40">
        <f t="shared" si="8"/>
        <v>90.29126214</v>
      </c>
      <c r="Q10" s="35">
        <f t="shared" si="9"/>
        <v>0</v>
      </c>
      <c r="R10" s="35">
        <f t="shared" si="10"/>
        <v>0</v>
      </c>
      <c r="S10" s="35">
        <f t="shared" si="11"/>
        <v>0</v>
      </c>
      <c r="T10" s="97">
        <f t="shared" si="12"/>
        <v>2.830188679</v>
      </c>
    </row>
    <row r="11" ht="15.75" customHeight="1">
      <c r="A11" s="7"/>
      <c r="B11" s="68"/>
      <c r="C11" s="32"/>
      <c r="D11" s="33"/>
      <c r="E11" s="34"/>
      <c r="F11" s="35"/>
      <c r="G11" s="96"/>
      <c r="H11" s="68"/>
      <c r="I11" s="68"/>
      <c r="J11" s="36"/>
      <c r="K11" s="68"/>
      <c r="L11" s="69"/>
      <c r="M11" s="68"/>
      <c r="N11" s="39"/>
      <c r="O11" s="70"/>
      <c r="P11" s="40"/>
      <c r="Q11" s="35"/>
      <c r="R11" s="35"/>
      <c r="S11" s="35"/>
      <c r="T11" s="97"/>
    </row>
    <row r="12" ht="15.75" customHeight="1">
      <c r="A12" s="98" t="s">
        <v>62</v>
      </c>
      <c r="B12" s="98">
        <f t="shared" ref="B12:F12" si="16">SUM(B4:B11)</f>
        <v>649411</v>
      </c>
      <c r="C12" s="98">
        <f t="shared" si="16"/>
        <v>253730</v>
      </c>
      <c r="D12" s="98">
        <f t="shared" si="16"/>
        <v>395681</v>
      </c>
      <c r="E12" s="99">
        <f t="shared" si="16"/>
        <v>370.5717749</v>
      </c>
      <c r="F12" s="99">
        <f t="shared" si="16"/>
        <v>4230.646025</v>
      </c>
      <c r="G12" s="100">
        <f>85395*1.18</f>
        <v>100766.1</v>
      </c>
      <c r="H12" s="98">
        <f t="shared" ref="H12:M12" si="17">SUM(H4:H11)</f>
        <v>598</v>
      </c>
      <c r="I12" s="98">
        <f t="shared" si="17"/>
        <v>582</v>
      </c>
      <c r="J12" s="98">
        <f t="shared" si="17"/>
        <v>195530</v>
      </c>
      <c r="K12" s="98">
        <f t="shared" si="17"/>
        <v>531</v>
      </c>
      <c r="L12" s="98">
        <f t="shared" si="17"/>
        <v>58200</v>
      </c>
      <c r="M12" s="98">
        <f t="shared" si="17"/>
        <v>33</v>
      </c>
      <c r="N12" s="99">
        <f t="shared" ref="N12:T12" si="18">AVERAGE(N4:N10)</f>
        <v>4.865353109</v>
      </c>
      <c r="O12" s="99">
        <f t="shared" si="18"/>
        <v>91.99716813</v>
      </c>
      <c r="P12" s="99">
        <f t="shared" si="18"/>
        <v>93.63963028</v>
      </c>
      <c r="Q12" s="99">
        <f t="shared" si="18"/>
        <v>0</v>
      </c>
      <c r="R12" s="99">
        <f t="shared" si="18"/>
        <v>0</v>
      </c>
      <c r="S12" s="99">
        <f t="shared" si="18"/>
        <v>0</v>
      </c>
      <c r="T12" s="99">
        <f t="shared" si="18"/>
        <v>8.002831874</v>
      </c>
      <c r="U12" s="27"/>
      <c r="V12" s="27"/>
      <c r="W12" s="27"/>
      <c r="X12" s="27"/>
      <c r="Y12" s="27"/>
      <c r="Z12" s="27"/>
    </row>
    <row r="13" ht="15.75" customHeight="1"/>
    <row r="14" ht="15.75" customHeight="1">
      <c r="D14" s="101" t="s">
        <v>63</v>
      </c>
    </row>
    <row r="15" ht="15.75" customHeight="1">
      <c r="A15" s="102" t="s">
        <v>32</v>
      </c>
      <c r="B15" s="103">
        <f>B12</f>
        <v>649411</v>
      </c>
      <c r="C15" s="3"/>
      <c r="D15" s="104" t="s">
        <v>50</v>
      </c>
      <c r="E15" s="105">
        <f>B16/K12</f>
        <v>368.2297552</v>
      </c>
    </row>
    <row r="16" ht="15.75" customHeight="1">
      <c r="A16" s="102" t="s">
        <v>50</v>
      </c>
      <c r="B16" s="103">
        <f>J12</f>
        <v>195530</v>
      </c>
      <c r="C16" s="3"/>
      <c r="D16" s="104" t="s">
        <v>35</v>
      </c>
      <c r="E16" s="105">
        <f>B17/K12</f>
        <v>109.6045198</v>
      </c>
      <c r="G16" s="85"/>
    </row>
    <row r="17" ht="15.75" customHeight="1">
      <c r="A17" s="102" t="s">
        <v>51</v>
      </c>
      <c r="B17" s="103">
        <f>L12</f>
        <v>58200</v>
      </c>
      <c r="C17" s="3"/>
      <c r="D17" s="104" t="s">
        <v>51</v>
      </c>
      <c r="E17" s="105">
        <f>B17/I12</f>
        <v>100</v>
      </c>
    </row>
    <row r="18" ht="15.75" customHeight="1">
      <c r="A18" s="102" t="s">
        <v>52</v>
      </c>
      <c r="B18" s="106">
        <f>G12</f>
        <v>100766.1</v>
      </c>
      <c r="C18" s="3"/>
      <c r="D18" s="104" t="s">
        <v>33</v>
      </c>
      <c r="E18" s="107">
        <f>B15/K12</f>
        <v>1222.996234</v>
      </c>
    </row>
    <row r="19" ht="15.75" customHeight="1">
      <c r="A19" s="102" t="s">
        <v>64</v>
      </c>
      <c r="B19" s="106">
        <f>B15-(B16+B17+B18)</f>
        <v>294914.9</v>
      </c>
      <c r="C19" s="3"/>
      <c r="D19" s="84"/>
      <c r="E19" s="80"/>
    </row>
    <row r="20" ht="15.75" customHeight="1">
      <c r="A20" s="102" t="s">
        <v>38</v>
      </c>
      <c r="B20" s="106">
        <f>B19/B15*100</f>
        <v>45.41267395</v>
      </c>
      <c r="C20" s="3"/>
      <c r="D20" s="3"/>
      <c r="E20" s="3"/>
    </row>
    <row r="21" ht="15.75" customHeight="1"/>
    <row r="22" ht="15.75" customHeight="1"/>
    <row r="23" ht="15.75" customHeight="1">
      <c r="A23" s="92" t="s">
        <v>61</v>
      </c>
      <c r="B23" s="93" t="s">
        <v>39</v>
      </c>
    </row>
    <row r="24" ht="15.75" customHeight="1"/>
    <row r="25" ht="15.75" customHeight="1">
      <c r="A25" s="54" t="s">
        <v>45</v>
      </c>
      <c r="B25" s="108" t="s">
        <v>3</v>
      </c>
      <c r="C25" s="108" t="s">
        <v>4</v>
      </c>
      <c r="D25" s="108" t="s">
        <v>5</v>
      </c>
      <c r="E25" s="109" t="s">
        <v>6</v>
      </c>
      <c r="F25" s="108" t="s">
        <v>7</v>
      </c>
      <c r="G25" s="108" t="s">
        <v>9</v>
      </c>
      <c r="H25" s="108" t="s">
        <v>11</v>
      </c>
      <c r="I25" s="108" t="s">
        <v>12</v>
      </c>
      <c r="J25" s="108" t="s">
        <v>42</v>
      </c>
      <c r="K25" s="108" t="s">
        <v>43</v>
      </c>
      <c r="L25" s="109" t="s">
        <v>15</v>
      </c>
      <c r="M25" s="98" t="s">
        <v>53</v>
      </c>
      <c r="P25" s="22">
        <v>1076239.03</v>
      </c>
      <c r="Q25" s="21">
        <v>252057.0</v>
      </c>
      <c r="R25" s="22">
        <f t="shared" ref="R25:R31" si="19">P25-Q25</f>
        <v>824182.03</v>
      </c>
    </row>
    <row r="26" ht="15.75" customHeight="1">
      <c r="A26" s="110" t="s">
        <v>24</v>
      </c>
      <c r="B26" s="111">
        <f>681840.61+17899.6</f>
        <v>699740.21</v>
      </c>
      <c r="C26" s="112">
        <f t="shared" ref="C26:C32" si="20">K26+H26</f>
        <v>412768.5</v>
      </c>
      <c r="D26" s="113">
        <f t="shared" ref="D26:D32" si="21">B26-C26</f>
        <v>286971.71</v>
      </c>
      <c r="E26" s="34">
        <f t="shared" ref="E26:E27" si="22">D26/B26*100</f>
        <v>41.01117899</v>
      </c>
      <c r="F26" s="114">
        <f t="shared" ref="F26:F27" si="23">D26/I26</f>
        <v>403.6170323</v>
      </c>
      <c r="G26" s="115">
        <f>880+15</f>
        <v>895</v>
      </c>
      <c r="H26" s="36">
        <f>270*I26</f>
        <v>191970</v>
      </c>
      <c r="I26" s="116">
        <f>15+696</f>
        <v>711</v>
      </c>
      <c r="J26" s="36">
        <f t="shared" ref="J26:J27" si="24">G26-I26</f>
        <v>184</v>
      </c>
      <c r="K26" s="117">
        <f>3981.52 +216816.98 
</f>
        <v>220798.5</v>
      </c>
      <c r="L26" s="118">
        <f t="shared" ref="L26:L27" si="25">J26/G26*100</f>
        <v>20.55865922</v>
      </c>
      <c r="M26" s="119">
        <f>1519.46+52620.31</f>
        <v>54139.77</v>
      </c>
      <c r="P26" s="22">
        <v>312552.14</v>
      </c>
      <c r="Q26" s="21">
        <v>7405.0</v>
      </c>
      <c r="R26" s="22">
        <f t="shared" si="19"/>
        <v>305147.14</v>
      </c>
    </row>
    <row r="27" ht="15.75" customHeight="1">
      <c r="A27" s="110" t="s">
        <v>25</v>
      </c>
      <c r="B27" s="111">
        <f>67783.29+120429.43</f>
        <v>188212.72</v>
      </c>
      <c r="C27" s="112">
        <f t="shared" si="20"/>
        <v>120745.06</v>
      </c>
      <c r="D27" s="113">
        <f t="shared" si="21"/>
        <v>67467.66</v>
      </c>
      <c r="E27" s="34">
        <f t="shared" si="22"/>
        <v>35.84649327</v>
      </c>
      <c r="F27" s="114">
        <f t="shared" si="23"/>
        <v>427.0105063</v>
      </c>
      <c r="G27" s="115">
        <f>54+160</f>
        <v>214</v>
      </c>
      <c r="H27" s="36">
        <f>350*I27</f>
        <v>55300</v>
      </c>
      <c r="I27" s="116">
        <f>111+47</f>
        <v>158</v>
      </c>
      <c r="J27" s="36">
        <f t="shared" si="24"/>
        <v>56</v>
      </c>
      <c r="K27" s="117">
        <f>39800.92+25644.14</f>
        <v>65445.06</v>
      </c>
      <c r="L27" s="118">
        <f t="shared" si="25"/>
        <v>26.1682243</v>
      </c>
      <c r="M27" s="119">
        <f>13018.97+6101.28</f>
        <v>19120.25</v>
      </c>
      <c r="P27" s="22">
        <v>84049.91</v>
      </c>
      <c r="Q27" s="21">
        <v>4163.0</v>
      </c>
      <c r="R27" s="22">
        <f t="shared" si="19"/>
        <v>79886.91</v>
      </c>
    </row>
    <row r="28" ht="15.75" customHeight="1">
      <c r="A28" s="110" t="s">
        <v>26</v>
      </c>
      <c r="B28" s="111">
        <v>0.0</v>
      </c>
      <c r="C28" s="112">
        <f t="shared" si="20"/>
        <v>0</v>
      </c>
      <c r="D28" s="113">
        <f t="shared" si="21"/>
        <v>0</v>
      </c>
      <c r="E28" s="34" t="s">
        <v>65</v>
      </c>
      <c r="F28" s="114" t="s">
        <v>65</v>
      </c>
      <c r="G28" s="115">
        <v>0.0</v>
      </c>
      <c r="H28" s="36">
        <f> 980*I28</f>
        <v>0</v>
      </c>
      <c r="I28" s="116">
        <v>0.0</v>
      </c>
      <c r="J28" s="36">
        <v>0.0</v>
      </c>
      <c r="K28" s="117">
        <v>0.0</v>
      </c>
      <c r="L28" s="118">
        <v>0.0</v>
      </c>
      <c r="M28" s="119">
        <v>0.0</v>
      </c>
      <c r="P28" s="22">
        <v>960893.46</v>
      </c>
      <c r="Q28" s="21">
        <v>284095.0</v>
      </c>
      <c r="R28" s="22">
        <f t="shared" si="19"/>
        <v>676798.46</v>
      </c>
    </row>
    <row r="29" ht="15.75" customHeight="1">
      <c r="A29" s="110" t="s">
        <v>27</v>
      </c>
      <c r="B29" s="111">
        <f>226750.97+1842.69</f>
        <v>228593.66</v>
      </c>
      <c r="C29" s="112">
        <f t="shared" si="20"/>
        <v>158410.49</v>
      </c>
      <c r="D29" s="113">
        <f t="shared" si="21"/>
        <v>70183.17</v>
      </c>
      <c r="E29" s="34">
        <f t="shared" ref="E29:E32" si="26">D29/B29*100</f>
        <v>30.70215071</v>
      </c>
      <c r="F29" s="114">
        <f t="shared" ref="F29:F32" si="27">D29/I29</f>
        <v>178.1298731</v>
      </c>
      <c r="G29" s="115">
        <v>463.0</v>
      </c>
      <c r="H29" s="36">
        <f>220*I29</f>
        <v>86680</v>
      </c>
      <c r="I29" s="116">
        <v>394.0</v>
      </c>
      <c r="J29" s="36">
        <f t="shared" ref="J29:J32" si="28">G29-I29</f>
        <v>69</v>
      </c>
      <c r="K29" s="117">
        <f>71543.37+187.12</f>
        <v>71730.49</v>
      </c>
      <c r="L29" s="118">
        <f t="shared" ref="L29:L32" si="29">J29/G29*100</f>
        <v>14.90280778</v>
      </c>
      <c r="M29" s="119">
        <f>67.63+24626.01</f>
        <v>24693.64</v>
      </c>
      <c r="P29" s="22">
        <v>1343322.48</v>
      </c>
      <c r="Q29" s="21">
        <v>466885.0</v>
      </c>
      <c r="R29" s="22">
        <f t="shared" si="19"/>
        <v>876437.48</v>
      </c>
    </row>
    <row r="30" ht="15.75" customHeight="1">
      <c r="A30" s="110" t="s">
        <v>28</v>
      </c>
      <c r="B30" s="111">
        <f>62766.17+1734.27</f>
        <v>64500.44</v>
      </c>
      <c r="C30" s="112">
        <f t="shared" si="20"/>
        <v>42324.64</v>
      </c>
      <c r="D30" s="113">
        <f t="shared" si="21"/>
        <v>22175.8</v>
      </c>
      <c r="E30" s="34">
        <f t="shared" si="26"/>
        <v>34.38085074</v>
      </c>
      <c r="F30" s="114">
        <f t="shared" si="27"/>
        <v>351.9968254</v>
      </c>
      <c r="G30" s="115">
        <v>74.0</v>
      </c>
      <c r="H30" s="36">
        <f>270*I30</f>
        <v>17010</v>
      </c>
      <c r="I30" s="116">
        <v>63.0</v>
      </c>
      <c r="J30" s="36">
        <f t="shared" si="28"/>
        <v>11</v>
      </c>
      <c r="K30" s="117">
        <f>25140.74+173.9 </f>
        <v>25314.64</v>
      </c>
      <c r="L30" s="118">
        <f t="shared" si="29"/>
        <v>14.86486486</v>
      </c>
      <c r="M30" s="119">
        <f>11843.33</f>
        <v>11843.33</v>
      </c>
      <c r="P30" s="22">
        <v>208445.6</v>
      </c>
      <c r="Q30" s="21">
        <v>9463.0</v>
      </c>
      <c r="R30" s="22">
        <f t="shared" si="19"/>
        <v>198982.6</v>
      </c>
    </row>
    <row r="31" ht="15.75" customHeight="1">
      <c r="A31" s="110" t="s">
        <v>29</v>
      </c>
      <c r="B31" s="111">
        <v>0.0</v>
      </c>
      <c r="C31" s="112">
        <f t="shared" si="20"/>
        <v>0</v>
      </c>
      <c r="D31" s="113">
        <f t="shared" si="21"/>
        <v>0</v>
      </c>
      <c r="E31" s="34" t="str">
        <f t="shared" si="26"/>
        <v>#DIV/0!</v>
      </c>
      <c r="F31" s="114" t="str">
        <f t="shared" si="27"/>
        <v>#DIV/0!</v>
      </c>
      <c r="G31" s="115">
        <v>0.0</v>
      </c>
      <c r="H31" s="36">
        <f>320*I31</f>
        <v>0</v>
      </c>
      <c r="I31" s="116">
        <v>0.0</v>
      </c>
      <c r="J31" s="36">
        <f t="shared" si="28"/>
        <v>0</v>
      </c>
      <c r="K31" s="117">
        <v>0.0</v>
      </c>
      <c r="L31" s="118" t="str">
        <f t="shared" si="29"/>
        <v>#DIV/0!</v>
      </c>
      <c r="M31" s="119">
        <v>0.0</v>
      </c>
      <c r="P31" s="22">
        <v>548969.15</v>
      </c>
      <c r="Q31" s="21">
        <v>32003.0</v>
      </c>
      <c r="R31" s="22">
        <f t="shared" si="19"/>
        <v>516966.15</v>
      </c>
    </row>
    <row r="32" ht="15.75" customHeight="1">
      <c r="A32" s="110" t="s">
        <v>30</v>
      </c>
      <c r="B32" s="111">
        <f>51632.1</f>
        <v>51632.1</v>
      </c>
      <c r="C32" s="112">
        <f t="shared" si="20"/>
        <v>0</v>
      </c>
      <c r="D32" s="113">
        <f t="shared" si="21"/>
        <v>51632.1</v>
      </c>
      <c r="E32" s="34">
        <f t="shared" si="26"/>
        <v>100</v>
      </c>
      <c r="F32" s="114" t="str">
        <f t="shared" si="27"/>
        <v>#DIV/0!</v>
      </c>
      <c r="G32" s="115">
        <v>0.0</v>
      </c>
      <c r="H32" s="36">
        <f>470*I32</f>
        <v>0</v>
      </c>
      <c r="I32" s="116">
        <v>0.0</v>
      </c>
      <c r="J32" s="36">
        <f t="shared" si="28"/>
        <v>0</v>
      </c>
      <c r="K32" s="117">
        <v>0.0</v>
      </c>
      <c r="L32" s="118" t="str">
        <f t="shared" si="29"/>
        <v>#DIV/0!</v>
      </c>
      <c r="M32" s="119">
        <v>0.0</v>
      </c>
    </row>
    <row r="33" ht="15.75" customHeight="1">
      <c r="A33" s="21" t="s">
        <v>62</v>
      </c>
      <c r="B33" s="21">
        <f t="shared" ref="B33:D33" si="30">SUM(B26:B32)</f>
        <v>1232679.13</v>
      </c>
      <c r="C33" s="21">
        <f t="shared" si="30"/>
        <v>734248.69</v>
      </c>
      <c r="D33" s="81">
        <f t="shared" si="30"/>
        <v>498430.44</v>
      </c>
      <c r="H33" s="21">
        <f t="shared" ref="H33:I33" si="31">SUM(H26:H32)</f>
        <v>350960</v>
      </c>
      <c r="I33" s="21">
        <f t="shared" si="31"/>
        <v>1326</v>
      </c>
      <c r="M33" s="85">
        <f>SUM(M26:M32)</f>
        <v>109796.99</v>
      </c>
      <c r="P33" s="22">
        <f>SUM(P25:P31)</f>
        <v>4534471.77</v>
      </c>
      <c r="R33" s="22">
        <f>SUM(R25:R31)</f>
        <v>3478400.77</v>
      </c>
    </row>
    <row r="34" ht="15.75" customHeight="1"/>
    <row r="35" ht="15.75" customHeight="1">
      <c r="A35" s="102" t="s">
        <v>32</v>
      </c>
      <c r="B35" s="106">
        <f>B33</f>
        <v>1232679.13</v>
      </c>
    </row>
    <row r="36" ht="15.75" customHeight="1">
      <c r="A36" s="102" t="s">
        <v>50</v>
      </c>
      <c r="B36" s="103">
        <f>H33</f>
        <v>350960</v>
      </c>
    </row>
    <row r="37" ht="15.75" customHeight="1">
      <c r="A37" s="102" t="s">
        <v>54</v>
      </c>
      <c r="B37" s="106">
        <f>sum(K26:K32)</f>
        <v>383288.69</v>
      </c>
    </row>
    <row r="38" ht="15.75" customHeight="1">
      <c r="A38" s="102" t="s">
        <v>52</v>
      </c>
      <c r="B38" s="106">
        <f>sum(M26:M32)</f>
        <v>109796.99</v>
      </c>
    </row>
    <row r="39" ht="15.75" customHeight="1">
      <c r="A39" s="102" t="s">
        <v>36</v>
      </c>
      <c r="B39" s="106">
        <f>B35-(B36+B37+B38)</f>
        <v>388633.45</v>
      </c>
    </row>
    <row r="40" ht="15.75" customHeight="1">
      <c r="A40" s="102" t="s">
        <v>38</v>
      </c>
      <c r="B40" s="120">
        <f>B39/B35*100</f>
        <v>31.52754359</v>
      </c>
    </row>
    <row r="41" ht="15.75" customHeight="1"/>
    <row r="42" ht="15.75" customHeight="1"/>
    <row r="43" ht="15.75" customHeight="1">
      <c r="A43" s="92" t="s">
        <v>61</v>
      </c>
      <c r="B43" s="93" t="s">
        <v>66</v>
      </c>
    </row>
    <row r="44" ht="15.75" customHeight="1"/>
    <row r="45" ht="15.75" customHeight="1">
      <c r="A45" s="54" t="s">
        <v>45</v>
      </c>
      <c r="B45" s="108" t="s">
        <v>3</v>
      </c>
      <c r="C45" s="108" t="s">
        <v>4</v>
      </c>
      <c r="D45" s="108" t="s">
        <v>5</v>
      </c>
      <c r="E45" s="109" t="s">
        <v>6</v>
      </c>
      <c r="F45" s="108" t="s">
        <v>7</v>
      </c>
      <c r="G45" s="108" t="s">
        <v>9</v>
      </c>
      <c r="H45" s="108" t="s">
        <v>11</v>
      </c>
      <c r="I45" s="108" t="s">
        <v>12</v>
      </c>
      <c r="J45" s="108" t="s">
        <v>42</v>
      </c>
      <c r="K45" s="108" t="s">
        <v>67</v>
      </c>
      <c r="L45" s="109" t="s">
        <v>15</v>
      </c>
      <c r="M45" s="98" t="s">
        <v>53</v>
      </c>
      <c r="P45" s="22">
        <v>1076239.03</v>
      </c>
      <c r="Q45" s="21">
        <v>252057.0</v>
      </c>
      <c r="R45" s="22">
        <f t="shared" ref="R45:R51" si="32">P45-Q45</f>
        <v>824182.03</v>
      </c>
    </row>
    <row r="46" ht="15.75" customHeight="1">
      <c r="A46" s="110" t="s">
        <v>24</v>
      </c>
      <c r="B46" s="111">
        <f>8901</f>
        <v>8901</v>
      </c>
      <c r="C46" s="112">
        <f t="shared" ref="C46:C52" si="33">K46+H46</f>
        <v>4939.59</v>
      </c>
      <c r="D46" s="113">
        <f t="shared" ref="D46:D52" si="34">B46-C46</f>
        <v>3961.41</v>
      </c>
      <c r="E46" s="34">
        <f t="shared" ref="E46:E47" si="35">D46/B46*100</f>
        <v>44.50522413</v>
      </c>
      <c r="F46" s="114">
        <f t="shared" ref="F46:F47" si="36">D46/I46</f>
        <v>440.1566667</v>
      </c>
      <c r="G46" s="115">
        <v>17.0</v>
      </c>
      <c r="H46" s="36">
        <f>270*I46</f>
        <v>2430</v>
      </c>
      <c r="I46" s="116">
        <v>9.0</v>
      </c>
      <c r="J46" s="36">
        <f t="shared" ref="J46:J47" si="37">G46-I46</f>
        <v>8</v>
      </c>
      <c r="K46" s="117">
        <f>2509.59</f>
        <v>2509.59</v>
      </c>
      <c r="L46" s="118">
        <f t="shared" ref="L46:L47" si="38">J46/G46*100</f>
        <v>47.05882353</v>
      </c>
      <c r="M46" s="119">
        <v>0.0</v>
      </c>
      <c r="P46" s="22">
        <v>312552.14</v>
      </c>
      <c r="Q46" s="21">
        <v>7405.0</v>
      </c>
      <c r="R46" s="22">
        <f t="shared" si="32"/>
        <v>305147.14</v>
      </c>
    </row>
    <row r="47" ht="15.75" customHeight="1">
      <c r="A47" s="110" t="s">
        <v>25</v>
      </c>
      <c r="B47" s="111">
        <f>8694</f>
        <v>8694</v>
      </c>
      <c r="C47" s="112">
        <f t="shared" si="33"/>
        <v>4492.38</v>
      </c>
      <c r="D47" s="113">
        <f t="shared" si="34"/>
        <v>4201.62</v>
      </c>
      <c r="E47" s="34">
        <f t="shared" si="35"/>
        <v>48.32781228</v>
      </c>
      <c r="F47" s="114">
        <f t="shared" si="36"/>
        <v>700.27</v>
      </c>
      <c r="G47" s="115">
        <v>6.0</v>
      </c>
      <c r="H47" s="36">
        <f>350*I47</f>
        <v>2100</v>
      </c>
      <c r="I47" s="116">
        <v>6.0</v>
      </c>
      <c r="J47" s="36">
        <f t="shared" si="37"/>
        <v>0</v>
      </c>
      <c r="K47" s="117">
        <f>2392.38</f>
        <v>2392.38</v>
      </c>
      <c r="L47" s="118">
        <f t="shared" si="38"/>
        <v>0</v>
      </c>
      <c r="M47" s="119">
        <v>0.0</v>
      </c>
      <c r="P47" s="22">
        <v>84049.91</v>
      </c>
      <c r="Q47" s="21">
        <v>4163.0</v>
      </c>
      <c r="R47" s="22">
        <f t="shared" si="32"/>
        <v>79886.91</v>
      </c>
    </row>
    <row r="48" ht="15.75" customHeight="1">
      <c r="A48" s="110" t="s">
        <v>26</v>
      </c>
      <c r="B48" s="111">
        <v>0.0</v>
      </c>
      <c r="C48" s="112">
        <f t="shared" si="33"/>
        <v>0</v>
      </c>
      <c r="D48" s="113">
        <f t="shared" si="34"/>
        <v>0</v>
      </c>
      <c r="E48" s="34" t="s">
        <v>65</v>
      </c>
      <c r="F48" s="114" t="s">
        <v>65</v>
      </c>
      <c r="G48" s="115">
        <v>0.0</v>
      </c>
      <c r="H48" s="36">
        <f> 980*I48</f>
        <v>0</v>
      </c>
      <c r="I48" s="116">
        <v>0.0</v>
      </c>
      <c r="J48" s="36">
        <v>0.0</v>
      </c>
      <c r="K48" s="117">
        <v>0.0</v>
      </c>
      <c r="L48" s="118">
        <v>0.0</v>
      </c>
      <c r="M48" s="119">
        <v>0.0</v>
      </c>
      <c r="P48" s="22">
        <v>960893.46</v>
      </c>
      <c r="Q48" s="21">
        <v>284095.0</v>
      </c>
      <c r="R48" s="22">
        <f t="shared" si="32"/>
        <v>676798.46</v>
      </c>
    </row>
    <row r="49" ht="15.75" customHeight="1">
      <c r="A49" s="110" t="s">
        <v>27</v>
      </c>
      <c r="B49" s="111">
        <f>6753</f>
        <v>6753</v>
      </c>
      <c r="C49" s="112">
        <f t="shared" si="33"/>
        <v>5527.28</v>
      </c>
      <c r="D49" s="113">
        <f t="shared" si="34"/>
        <v>1225.72</v>
      </c>
      <c r="E49" s="34">
        <f t="shared" ref="E49:E52" si="39">D49/B49*100</f>
        <v>18.15074782</v>
      </c>
      <c r="F49" s="114">
        <f t="shared" ref="F49:F51" si="40">D49/I49</f>
        <v>102.1433333</v>
      </c>
      <c r="G49" s="115">
        <v>20.0</v>
      </c>
      <c r="H49" s="36">
        <f>220*I49</f>
        <v>2640</v>
      </c>
      <c r="I49" s="116">
        <v>12.0</v>
      </c>
      <c r="J49" s="36">
        <f t="shared" ref="J49:J52" si="41">G49-I49</f>
        <v>8</v>
      </c>
      <c r="K49" s="117">
        <f>2887.28</f>
        <v>2887.28</v>
      </c>
      <c r="L49" s="118">
        <f t="shared" ref="L49:L51" si="42">J49/G49*100</f>
        <v>40</v>
      </c>
      <c r="M49" s="119">
        <v>0.0</v>
      </c>
      <c r="P49" s="22">
        <v>1343322.48</v>
      </c>
      <c r="Q49" s="21">
        <v>466885.0</v>
      </c>
      <c r="R49" s="22">
        <f t="shared" si="32"/>
        <v>876437.48</v>
      </c>
    </row>
    <row r="50" ht="15.75" customHeight="1">
      <c r="A50" s="110" t="s">
        <v>28</v>
      </c>
      <c r="B50" s="111">
        <f>5455</f>
        <v>5455</v>
      </c>
      <c r="C50" s="112">
        <f t="shared" si="33"/>
        <v>2937.25</v>
      </c>
      <c r="D50" s="113">
        <f t="shared" si="34"/>
        <v>2517.75</v>
      </c>
      <c r="E50" s="34">
        <f t="shared" si="39"/>
        <v>46.15490376</v>
      </c>
      <c r="F50" s="114">
        <f t="shared" si="40"/>
        <v>503.55</v>
      </c>
      <c r="G50" s="115">
        <v>8.0</v>
      </c>
      <c r="H50" s="36">
        <f>270*I50</f>
        <v>1350</v>
      </c>
      <c r="I50" s="116">
        <v>5.0</v>
      </c>
      <c r="J50" s="36">
        <f t="shared" si="41"/>
        <v>3</v>
      </c>
      <c r="K50" s="117">
        <f>1587.25</f>
        <v>1587.25</v>
      </c>
      <c r="L50" s="118">
        <f t="shared" si="42"/>
        <v>37.5</v>
      </c>
      <c r="M50" s="119">
        <v>0.0</v>
      </c>
      <c r="P50" s="22">
        <v>208445.6</v>
      </c>
      <c r="Q50" s="21">
        <v>9463.0</v>
      </c>
      <c r="R50" s="22">
        <f t="shared" si="32"/>
        <v>198982.6</v>
      </c>
    </row>
    <row r="51" ht="15.75" customHeight="1">
      <c r="A51" s="110" t="s">
        <v>29</v>
      </c>
      <c r="B51" s="111">
        <f>3747</f>
        <v>3747</v>
      </c>
      <c r="C51" s="112">
        <f t="shared" si="33"/>
        <v>2032.65</v>
      </c>
      <c r="D51" s="113">
        <f t="shared" si="34"/>
        <v>1714.35</v>
      </c>
      <c r="E51" s="34">
        <f t="shared" si="39"/>
        <v>45.75260208</v>
      </c>
      <c r="F51" s="114">
        <f t="shared" si="40"/>
        <v>571.45</v>
      </c>
      <c r="G51" s="115">
        <v>3.0</v>
      </c>
      <c r="H51" s="36">
        <f>320*I51</f>
        <v>960</v>
      </c>
      <c r="I51" s="116">
        <v>3.0</v>
      </c>
      <c r="J51" s="36">
        <f t="shared" si="41"/>
        <v>0</v>
      </c>
      <c r="K51" s="117">
        <f>1072.65</f>
        <v>1072.65</v>
      </c>
      <c r="L51" s="118">
        <f t="shared" si="42"/>
        <v>0</v>
      </c>
      <c r="M51" s="119">
        <v>0.0</v>
      </c>
      <c r="P51" s="22">
        <v>548969.15</v>
      </c>
      <c r="Q51" s="21">
        <v>32003.0</v>
      </c>
      <c r="R51" s="22">
        <f t="shared" si="32"/>
        <v>516966.15</v>
      </c>
    </row>
    <row r="52" ht="15.75" customHeight="1">
      <c r="A52" s="110" t="s">
        <v>30</v>
      </c>
      <c r="B52" s="111">
        <v>0.0</v>
      </c>
      <c r="C52" s="112">
        <f t="shared" si="33"/>
        <v>0</v>
      </c>
      <c r="D52" s="113">
        <f t="shared" si="34"/>
        <v>0</v>
      </c>
      <c r="E52" s="34" t="str">
        <f t="shared" si="39"/>
        <v>#DIV/0!</v>
      </c>
      <c r="F52" s="114"/>
      <c r="G52" s="115">
        <v>0.0</v>
      </c>
      <c r="H52" s="36">
        <f>470*I52</f>
        <v>0</v>
      </c>
      <c r="I52" s="116">
        <v>0.0</v>
      </c>
      <c r="J52" s="36">
        <f t="shared" si="41"/>
        <v>0</v>
      </c>
      <c r="K52" s="117">
        <v>0.0</v>
      </c>
      <c r="L52" s="118"/>
      <c r="M52" s="119">
        <v>0.0</v>
      </c>
    </row>
    <row r="53" ht="15.75" customHeight="1">
      <c r="A53" s="21" t="s">
        <v>62</v>
      </c>
      <c r="B53" s="21">
        <f>SUM(B46:B52)</f>
        <v>33550</v>
      </c>
      <c r="H53" s="21">
        <f t="shared" ref="H53:I53" si="43">SUM(H46:H52)</f>
        <v>9480</v>
      </c>
      <c r="I53" s="21">
        <f t="shared" si="43"/>
        <v>35</v>
      </c>
      <c r="K53" s="21">
        <f>SUM(K46:K52)</f>
        <v>10449.15</v>
      </c>
    </row>
    <row r="54" ht="15.75" customHeight="1"/>
    <row r="55" ht="15.75" customHeight="1">
      <c r="A55" s="102" t="s">
        <v>32</v>
      </c>
      <c r="B55" s="103">
        <f>sum(B46:B52)</f>
        <v>33550</v>
      </c>
    </row>
    <row r="56" ht="15.75" customHeight="1">
      <c r="A56" s="102" t="s">
        <v>50</v>
      </c>
      <c r="B56" s="103">
        <f>H53</f>
        <v>9480</v>
      </c>
    </row>
    <row r="57" ht="15.75" customHeight="1">
      <c r="A57" s="102" t="s">
        <v>68</v>
      </c>
      <c r="B57" s="106">
        <f>sum(K46:K52)</f>
        <v>10449.15</v>
      </c>
    </row>
    <row r="58" ht="15.75" customHeight="1">
      <c r="A58" s="102" t="s">
        <v>52</v>
      </c>
      <c r="B58" s="103">
        <v>2600.0</v>
      </c>
    </row>
    <row r="59" ht="15.75" customHeight="1">
      <c r="A59" s="102" t="s">
        <v>36</v>
      </c>
      <c r="B59" s="106">
        <f>B55-(B56+B57+B58)</f>
        <v>11020.85</v>
      </c>
    </row>
    <row r="60" ht="15.75" customHeight="1">
      <c r="A60" s="102" t="s">
        <v>38</v>
      </c>
      <c r="B60" s="120">
        <f>B59/B55*100</f>
        <v>32.8490313</v>
      </c>
    </row>
    <row r="61" ht="15.75" customHeight="1">
      <c r="F61" s="3"/>
      <c r="G61" s="45"/>
    </row>
    <row r="62" ht="15.75" customHeight="1">
      <c r="F62" s="3"/>
      <c r="G62" s="45"/>
    </row>
    <row r="63" ht="15.75" customHeight="1">
      <c r="A63" s="92" t="s">
        <v>61</v>
      </c>
      <c r="B63" s="93" t="s">
        <v>69</v>
      </c>
    </row>
    <row r="64" ht="15.75" customHeight="1"/>
    <row r="65" ht="15.75" customHeight="1">
      <c r="A65" s="54" t="s">
        <v>45</v>
      </c>
      <c r="B65" s="108" t="s">
        <v>3</v>
      </c>
      <c r="C65" s="108" t="s">
        <v>4</v>
      </c>
      <c r="D65" s="108" t="s">
        <v>5</v>
      </c>
      <c r="E65" s="109" t="s">
        <v>6</v>
      </c>
      <c r="F65" s="108" t="s">
        <v>7</v>
      </c>
      <c r="G65" s="108" t="s">
        <v>9</v>
      </c>
      <c r="H65" s="108" t="s">
        <v>11</v>
      </c>
      <c r="I65" s="108" t="s">
        <v>12</v>
      </c>
      <c r="J65" s="108" t="s">
        <v>42</v>
      </c>
      <c r="K65" s="108" t="s">
        <v>70</v>
      </c>
      <c r="L65" s="109" t="s">
        <v>15</v>
      </c>
      <c r="M65" s="21" t="s">
        <v>71</v>
      </c>
      <c r="O65" s="22"/>
    </row>
    <row r="66" ht="15.75" customHeight="1">
      <c r="A66" s="110" t="s">
        <v>24</v>
      </c>
      <c r="B66" s="111">
        <f>689*I66</f>
        <v>60632</v>
      </c>
      <c r="C66" s="112">
        <f t="shared" ref="C66:C67" si="44">K66+H66</f>
        <v>23760</v>
      </c>
      <c r="D66" s="113">
        <f t="shared" ref="D66:D67" si="45">B66-C66</f>
        <v>36872</v>
      </c>
      <c r="E66" s="34">
        <f t="shared" ref="E66:E67" si="46">D66/B66*100</f>
        <v>60.81277213</v>
      </c>
      <c r="F66" s="114">
        <f t="shared" ref="F66:F67" si="47">D66/I66</f>
        <v>419</v>
      </c>
      <c r="G66" s="115">
        <v>88.0</v>
      </c>
      <c r="H66" s="36">
        <f>270*I66</f>
        <v>23760</v>
      </c>
      <c r="I66" s="116">
        <v>88.0</v>
      </c>
      <c r="J66" s="36">
        <f>G66-I66</f>
        <v>0</v>
      </c>
      <c r="K66" s="117">
        <v>0.0</v>
      </c>
      <c r="L66" s="118">
        <f t="shared" ref="L66:L67" si="48">J66/G66*100</f>
        <v>0</v>
      </c>
      <c r="M66" s="21">
        <f t="shared" ref="M66:M67" si="49">G66*20</f>
        <v>1760</v>
      </c>
      <c r="O66" s="22"/>
    </row>
    <row r="67" ht="15.75" customHeight="1">
      <c r="A67" s="110" t="s">
        <v>27</v>
      </c>
      <c r="B67" s="111">
        <f>359*I67</f>
        <v>27284</v>
      </c>
      <c r="C67" s="112">
        <f t="shared" si="44"/>
        <v>16720</v>
      </c>
      <c r="D67" s="113">
        <f t="shared" si="45"/>
        <v>10564</v>
      </c>
      <c r="E67" s="34">
        <f t="shared" si="46"/>
        <v>38.71866295</v>
      </c>
      <c r="F67" s="114">
        <f t="shared" si="47"/>
        <v>139</v>
      </c>
      <c r="G67" s="115">
        <v>76.0</v>
      </c>
      <c r="H67" s="36">
        <f>220*I67</f>
        <v>16720</v>
      </c>
      <c r="I67" s="116">
        <v>76.0</v>
      </c>
      <c r="J67" s="36">
        <v>0.0</v>
      </c>
      <c r="K67" s="117">
        <v>0.0</v>
      </c>
      <c r="L67" s="118">
        <f t="shared" si="48"/>
        <v>0</v>
      </c>
      <c r="M67" s="21">
        <f t="shared" si="49"/>
        <v>1520</v>
      </c>
      <c r="O67" s="22"/>
    </row>
    <row r="68" ht="15.75" customHeight="1">
      <c r="H68" s="21">
        <f t="shared" ref="H68:I68" si="50">SUM(H66:H67)</f>
        <v>40480</v>
      </c>
      <c r="I68" s="21">
        <f t="shared" si="50"/>
        <v>164</v>
      </c>
      <c r="K68" s="21" t="s">
        <v>72</v>
      </c>
      <c r="M68" s="21">
        <f>SUM(M66:M67)</f>
        <v>3280</v>
      </c>
    </row>
    <row r="69" ht="15.75" customHeight="1"/>
    <row r="70" ht="15.75" customHeight="1">
      <c r="A70" s="102" t="s">
        <v>32</v>
      </c>
      <c r="B70" s="103">
        <f>sum(B66:B67)</f>
        <v>87916</v>
      </c>
    </row>
    <row r="71" ht="15.75" customHeight="1">
      <c r="A71" s="102" t="s">
        <v>50</v>
      </c>
      <c r="B71" s="103">
        <f>H68</f>
        <v>40480</v>
      </c>
    </row>
    <row r="72" ht="15.75" customHeight="1">
      <c r="A72" s="102" t="s">
        <v>73</v>
      </c>
      <c r="B72" s="103">
        <f>M68</f>
        <v>3280</v>
      </c>
    </row>
    <row r="73" ht="15.75" customHeight="1">
      <c r="A73" s="102" t="s">
        <v>74</v>
      </c>
      <c r="B73" s="103">
        <v>21248.0</v>
      </c>
    </row>
    <row r="74" ht="15.75" customHeight="1">
      <c r="A74" s="102" t="s">
        <v>36</v>
      </c>
      <c r="B74" s="103">
        <f>B70-(B71+B72+B73)</f>
        <v>22908</v>
      </c>
    </row>
    <row r="75" ht="15.75" customHeight="1">
      <c r="A75" s="102" t="s">
        <v>38</v>
      </c>
      <c r="B75" s="120">
        <f>B74/B70*100</f>
        <v>26.05669048</v>
      </c>
    </row>
    <row r="76" ht="15.75" customHeight="1">
      <c r="F76" s="3"/>
      <c r="G76" s="45"/>
    </row>
    <row r="77" ht="15.75" customHeight="1">
      <c r="F77" s="3"/>
      <c r="G77" s="45"/>
    </row>
    <row r="78" ht="15.75" customHeight="1">
      <c r="F78" s="3"/>
      <c r="G78" s="45"/>
    </row>
    <row r="79" ht="15.75" customHeight="1">
      <c r="F79" s="3"/>
      <c r="G79" s="45"/>
    </row>
    <row r="80" ht="15.75" customHeight="1">
      <c r="F80" s="3"/>
      <c r="G80" s="45"/>
    </row>
    <row r="81" ht="15.75" customHeight="1">
      <c r="A81" s="121"/>
      <c r="B81" s="122"/>
      <c r="E81" s="123"/>
      <c r="F81" s="124"/>
      <c r="G81" s="45"/>
    </row>
    <row r="82" ht="15.75" customHeight="1">
      <c r="A82" s="125"/>
      <c r="B82" s="126"/>
      <c r="C82" s="81"/>
      <c r="E82" s="123"/>
      <c r="F82" s="124"/>
      <c r="G82" s="47"/>
    </row>
    <row r="83" ht="15.75" customHeight="1">
      <c r="A83" s="127"/>
      <c r="B83" s="128"/>
      <c r="C83" s="81"/>
      <c r="E83" s="123"/>
      <c r="F83" s="124"/>
    </row>
    <row r="84" ht="15.75" customHeight="1">
      <c r="A84" s="129"/>
      <c r="B84" s="130"/>
      <c r="C84" s="81"/>
      <c r="E84" s="123"/>
      <c r="F84" s="124"/>
    </row>
    <row r="85" ht="15.75" customHeight="1">
      <c r="A85" s="131"/>
      <c r="B85" s="132"/>
      <c r="C85" s="81"/>
      <c r="E85" s="123"/>
      <c r="F85" s="124"/>
    </row>
    <row r="86" ht="15.75" customHeight="1">
      <c r="A86" s="133"/>
      <c r="B86" s="134"/>
      <c r="E86" s="135"/>
      <c r="F86" s="136"/>
    </row>
    <row r="87" ht="15.75" customHeight="1">
      <c r="A87" s="137"/>
      <c r="B87" s="138"/>
    </row>
    <row r="88" ht="15.75" customHeight="1">
      <c r="A88" s="139"/>
      <c r="B88" s="140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5" max="6" width="13.25"/>
    <col customWidth="1" min="7" max="7" width="11.5"/>
    <col customWidth="1" min="8" max="8" width="15.75"/>
    <col customWidth="1" min="11" max="11" width="16.5"/>
    <col customWidth="1" min="12" max="12" width="16.38"/>
    <col customWidth="1" min="13" max="13" width="13.88"/>
  </cols>
  <sheetData>
    <row r="1" ht="15.75" customHeight="1">
      <c r="A1" s="92" t="s">
        <v>75</v>
      </c>
      <c r="B1" s="9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7" t="s">
        <v>2</v>
      </c>
      <c r="B3" s="29" t="s">
        <v>3</v>
      </c>
      <c r="C3" s="29" t="s">
        <v>4</v>
      </c>
      <c r="D3" s="29" t="s">
        <v>5</v>
      </c>
      <c r="E3" s="30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14</v>
      </c>
      <c r="M3" s="29" t="s">
        <v>13</v>
      </c>
      <c r="N3" s="30" t="s">
        <v>15</v>
      </c>
      <c r="O3" s="30" t="s">
        <v>16</v>
      </c>
      <c r="P3" s="30" t="s">
        <v>17</v>
      </c>
      <c r="Q3" s="30" t="s">
        <v>20</v>
      </c>
      <c r="R3" s="30" t="s">
        <v>21</v>
      </c>
      <c r="S3" s="29" t="s">
        <v>22</v>
      </c>
      <c r="T3" s="29" t="s">
        <v>23</v>
      </c>
    </row>
    <row r="4" ht="15.75" customHeight="1">
      <c r="A4" s="7" t="s">
        <v>24</v>
      </c>
      <c r="B4" s="68">
        <v>86261.0</v>
      </c>
      <c r="C4" s="32">
        <f t="shared" ref="C4:C11" si="1">G4+J4+L4</f>
        <v>32990</v>
      </c>
      <c r="D4" s="33">
        <f t="shared" ref="D4:D11" si="2">B4-C4</f>
        <v>53271</v>
      </c>
      <c r="E4" s="34">
        <f t="shared" ref="E4:E5" si="3">D4/B4*100</f>
        <v>61.75560218</v>
      </c>
      <c r="F4" s="35">
        <f t="shared" ref="F4:F5" si="4">D4/K4</f>
        <v>612.3103448</v>
      </c>
      <c r="G4" s="68">
        <v>0.0</v>
      </c>
      <c r="H4" s="68">
        <v>98.0</v>
      </c>
      <c r="I4" s="68">
        <v>95.0</v>
      </c>
      <c r="J4" s="36">
        <f>270*K4</f>
        <v>23490</v>
      </c>
      <c r="K4" s="68">
        <v>87.0</v>
      </c>
      <c r="L4" s="69">
        <f t="shared" ref="L4:L11" si="5">I4*100</f>
        <v>9500</v>
      </c>
      <c r="M4" s="68">
        <f>I4-K4</f>
        <v>8</v>
      </c>
      <c r="N4" s="39">
        <f t="shared" ref="N4:N11" si="6">M4/I4*100</f>
        <v>8.421052632</v>
      </c>
      <c r="O4" s="70">
        <f t="shared" ref="O4:O11" si="7">I4/H4*100</f>
        <v>96.93877551</v>
      </c>
      <c r="P4" s="40">
        <f t="shared" ref="P4:P11" si="8">K4/I4*100</f>
        <v>91.57894737</v>
      </c>
      <c r="Q4" s="35">
        <f t="shared" ref="Q4:Q11" si="9">G4/H4</f>
        <v>0</v>
      </c>
      <c r="R4" s="35">
        <f t="shared" ref="R4:R11" si="10">G4/I4</f>
        <v>0</v>
      </c>
      <c r="S4" s="35">
        <f t="shared" ref="S4:S11" si="11">G4/K4</f>
        <v>0</v>
      </c>
      <c r="T4" s="35">
        <f t="shared" ref="T4:T11" si="12">100-O4</f>
        <v>3.06122449</v>
      </c>
    </row>
    <row r="5" ht="15.75" customHeight="1">
      <c r="A5" s="7" t="s">
        <v>25</v>
      </c>
      <c r="B5" s="68">
        <v>762937.0</v>
      </c>
      <c r="C5" s="94">
        <f t="shared" si="1"/>
        <v>501604.8267</v>
      </c>
      <c r="D5" s="95">
        <f t="shared" si="2"/>
        <v>261332.1733</v>
      </c>
      <c r="E5" s="34">
        <f t="shared" si="3"/>
        <v>34.25344076</v>
      </c>
      <c r="F5" s="35">
        <f t="shared" si="4"/>
        <v>439.9531538</v>
      </c>
      <c r="G5" s="96">
        <v>222404.82666666666</v>
      </c>
      <c r="H5" s="68">
        <v>730.0</v>
      </c>
      <c r="I5" s="68">
        <v>713.0</v>
      </c>
      <c r="J5" s="36">
        <f>350*K5</f>
        <v>207900</v>
      </c>
      <c r="K5" s="68">
        <v>594.0</v>
      </c>
      <c r="L5" s="69">
        <f t="shared" si="5"/>
        <v>71300</v>
      </c>
      <c r="M5" s="68">
        <v>69.0</v>
      </c>
      <c r="N5" s="39">
        <f t="shared" si="6"/>
        <v>9.677419355</v>
      </c>
      <c r="O5" s="70">
        <f t="shared" si="7"/>
        <v>97.67123288</v>
      </c>
      <c r="P5" s="40">
        <f t="shared" si="8"/>
        <v>83.30995792</v>
      </c>
      <c r="Q5" s="35">
        <f t="shared" si="9"/>
        <v>304.6641461</v>
      </c>
      <c r="R5" s="35">
        <f t="shared" si="10"/>
        <v>311.9282281</v>
      </c>
      <c r="S5" s="35">
        <f t="shared" si="11"/>
        <v>374.4189001</v>
      </c>
      <c r="T5" s="35">
        <f t="shared" si="12"/>
        <v>2.328767123</v>
      </c>
    </row>
    <row r="6" ht="15.75" customHeight="1">
      <c r="A6" s="7" t="s">
        <v>26</v>
      </c>
      <c r="B6" s="68">
        <v>0.0</v>
      </c>
      <c r="C6" s="32">
        <f t="shared" si="1"/>
        <v>0</v>
      </c>
      <c r="D6" s="33">
        <f t="shared" si="2"/>
        <v>0</v>
      </c>
      <c r="E6" s="34">
        <v>0.0</v>
      </c>
      <c r="F6" s="35">
        <v>0.0</v>
      </c>
      <c r="G6" s="68">
        <v>0.0</v>
      </c>
      <c r="H6" s="68">
        <v>0.0</v>
      </c>
      <c r="I6" s="68">
        <v>0.0</v>
      </c>
      <c r="J6" s="36">
        <f> 980*K6</f>
        <v>0</v>
      </c>
      <c r="K6" s="68"/>
      <c r="L6" s="69">
        <f t="shared" si="5"/>
        <v>0</v>
      </c>
      <c r="M6" s="68">
        <f t="shared" ref="M6:M11" si="13">I6-K6</f>
        <v>0</v>
      </c>
      <c r="N6" s="39" t="str">
        <f t="shared" si="6"/>
        <v>#DIV/0!</v>
      </c>
      <c r="O6" s="70" t="str">
        <f t="shared" si="7"/>
        <v>#DIV/0!</v>
      </c>
      <c r="P6" s="40" t="str">
        <f t="shared" si="8"/>
        <v>#DIV/0!</v>
      </c>
      <c r="Q6" s="35" t="str">
        <f t="shared" si="9"/>
        <v>#DIV/0!</v>
      </c>
      <c r="R6" s="35" t="str">
        <f t="shared" si="10"/>
        <v>#DIV/0!</v>
      </c>
      <c r="S6" s="35" t="str">
        <f t="shared" si="11"/>
        <v>#DIV/0!</v>
      </c>
      <c r="T6" s="35" t="str">
        <f t="shared" si="12"/>
        <v>#DIV/0!</v>
      </c>
    </row>
    <row r="7" ht="15.75" customHeight="1">
      <c r="A7" s="7" t="s">
        <v>27</v>
      </c>
      <c r="B7" s="68">
        <v>58782.0</v>
      </c>
      <c r="C7" s="32">
        <f t="shared" si="1"/>
        <v>36220</v>
      </c>
      <c r="D7" s="33">
        <f t="shared" si="2"/>
        <v>22562</v>
      </c>
      <c r="E7" s="34">
        <f t="shared" ref="E7:E11" si="14">D7/B7*100</f>
        <v>38.38249804</v>
      </c>
      <c r="F7" s="35">
        <f t="shared" ref="F7:F11" si="15">D7/K7</f>
        <v>203.2612613</v>
      </c>
      <c r="G7" s="68">
        <v>0.0</v>
      </c>
      <c r="H7" s="68">
        <v>120.0</v>
      </c>
      <c r="I7" s="68">
        <v>118.0</v>
      </c>
      <c r="J7" s="36">
        <f>220*K7</f>
        <v>24420</v>
      </c>
      <c r="K7" s="68">
        <v>111.0</v>
      </c>
      <c r="L7" s="69">
        <f t="shared" si="5"/>
        <v>11800</v>
      </c>
      <c r="M7" s="68">
        <f t="shared" si="13"/>
        <v>7</v>
      </c>
      <c r="N7" s="39">
        <f t="shared" si="6"/>
        <v>5.93220339</v>
      </c>
      <c r="O7" s="70">
        <f t="shared" si="7"/>
        <v>98.33333333</v>
      </c>
      <c r="P7" s="40">
        <f t="shared" si="8"/>
        <v>94.06779661</v>
      </c>
      <c r="Q7" s="35">
        <f t="shared" si="9"/>
        <v>0</v>
      </c>
      <c r="R7" s="35">
        <f t="shared" si="10"/>
        <v>0</v>
      </c>
      <c r="S7" s="35">
        <f t="shared" si="11"/>
        <v>0</v>
      </c>
      <c r="T7" s="35">
        <f t="shared" si="12"/>
        <v>1.666666667</v>
      </c>
    </row>
    <row r="8" ht="15.75" customHeight="1">
      <c r="A8" s="7" t="s">
        <v>28</v>
      </c>
      <c r="B8" s="68">
        <v>184591.0</v>
      </c>
      <c r="C8" s="32">
        <f t="shared" si="1"/>
        <v>73410</v>
      </c>
      <c r="D8" s="33">
        <f t="shared" si="2"/>
        <v>111181</v>
      </c>
      <c r="E8" s="34">
        <f t="shared" si="14"/>
        <v>60.23099718</v>
      </c>
      <c r="F8" s="35">
        <f t="shared" si="15"/>
        <v>576.0673575</v>
      </c>
      <c r="G8" s="68">
        <v>0.0</v>
      </c>
      <c r="H8" s="68">
        <v>218.0</v>
      </c>
      <c r="I8" s="68">
        <v>213.0</v>
      </c>
      <c r="J8" s="36">
        <f>270*K8</f>
        <v>52110</v>
      </c>
      <c r="K8" s="68">
        <v>193.0</v>
      </c>
      <c r="L8" s="69">
        <f t="shared" si="5"/>
        <v>21300</v>
      </c>
      <c r="M8" s="68">
        <f t="shared" si="13"/>
        <v>20</v>
      </c>
      <c r="N8" s="39">
        <f t="shared" si="6"/>
        <v>9.389671362</v>
      </c>
      <c r="O8" s="70">
        <f t="shared" si="7"/>
        <v>97.70642202</v>
      </c>
      <c r="P8" s="40">
        <f t="shared" si="8"/>
        <v>90.61032864</v>
      </c>
      <c r="Q8" s="35">
        <f t="shared" si="9"/>
        <v>0</v>
      </c>
      <c r="R8" s="35">
        <f t="shared" si="10"/>
        <v>0</v>
      </c>
      <c r="S8" s="35">
        <f t="shared" si="11"/>
        <v>0</v>
      </c>
      <c r="T8" s="35">
        <f t="shared" si="12"/>
        <v>2.293577982</v>
      </c>
    </row>
    <row r="9" ht="15.75" customHeight="1">
      <c r="A9" s="7" t="s">
        <v>29</v>
      </c>
      <c r="B9" s="68">
        <v>104993.0</v>
      </c>
      <c r="C9" s="32">
        <f t="shared" si="1"/>
        <v>47300</v>
      </c>
      <c r="D9" s="33">
        <f t="shared" si="2"/>
        <v>57693</v>
      </c>
      <c r="E9" s="34">
        <f t="shared" si="14"/>
        <v>54.94937758</v>
      </c>
      <c r="F9" s="35">
        <f t="shared" si="15"/>
        <v>524.4818182</v>
      </c>
      <c r="G9" s="68">
        <v>0.0</v>
      </c>
      <c r="H9" s="68">
        <v>138.0</v>
      </c>
      <c r="I9" s="68">
        <v>121.0</v>
      </c>
      <c r="J9" s="36">
        <f>320*K9</f>
        <v>35200</v>
      </c>
      <c r="K9" s="68">
        <v>110.0</v>
      </c>
      <c r="L9" s="69">
        <f t="shared" si="5"/>
        <v>12100</v>
      </c>
      <c r="M9" s="68">
        <f t="shared" si="13"/>
        <v>11</v>
      </c>
      <c r="N9" s="39">
        <f t="shared" si="6"/>
        <v>9.090909091</v>
      </c>
      <c r="O9" s="70">
        <f t="shared" si="7"/>
        <v>87.68115942</v>
      </c>
      <c r="P9" s="40">
        <f t="shared" si="8"/>
        <v>90.90909091</v>
      </c>
      <c r="Q9" s="35">
        <f t="shared" si="9"/>
        <v>0</v>
      </c>
      <c r="R9" s="35">
        <f t="shared" si="10"/>
        <v>0</v>
      </c>
      <c r="S9" s="35">
        <f t="shared" si="11"/>
        <v>0</v>
      </c>
      <c r="T9" s="35">
        <f t="shared" si="12"/>
        <v>12.31884058</v>
      </c>
    </row>
    <row r="10" ht="15.75" customHeight="1">
      <c r="A10" s="7" t="s">
        <v>30</v>
      </c>
      <c r="B10" s="68">
        <v>167102.0</v>
      </c>
      <c r="C10" s="94">
        <f t="shared" si="1"/>
        <v>286174.8267</v>
      </c>
      <c r="D10" s="95">
        <f t="shared" si="2"/>
        <v>-119072.8267</v>
      </c>
      <c r="E10" s="34">
        <f t="shared" si="14"/>
        <v>-71.25757122</v>
      </c>
      <c r="F10" s="35">
        <f t="shared" si="15"/>
        <v>-1072.728168</v>
      </c>
      <c r="G10" s="96">
        <v>222404.82666666666</v>
      </c>
      <c r="H10" s="68">
        <v>119.0</v>
      </c>
      <c r="I10" s="68">
        <v>116.0</v>
      </c>
      <c r="J10" s="36">
        <f t="shared" ref="J10:J11" si="16">470*K10</f>
        <v>52170</v>
      </c>
      <c r="K10" s="68">
        <v>111.0</v>
      </c>
      <c r="L10" s="69">
        <f t="shared" si="5"/>
        <v>11600</v>
      </c>
      <c r="M10" s="68">
        <f t="shared" si="13"/>
        <v>5</v>
      </c>
      <c r="N10" s="39">
        <f t="shared" si="6"/>
        <v>4.310344828</v>
      </c>
      <c r="O10" s="70">
        <f t="shared" si="7"/>
        <v>97.4789916</v>
      </c>
      <c r="P10" s="40">
        <f t="shared" si="8"/>
        <v>95.68965517</v>
      </c>
      <c r="Q10" s="35">
        <f t="shared" si="9"/>
        <v>1868.948123</v>
      </c>
      <c r="R10" s="35">
        <f t="shared" si="10"/>
        <v>1917.282989</v>
      </c>
      <c r="S10" s="35">
        <f t="shared" si="11"/>
        <v>2003.647087</v>
      </c>
      <c r="T10" s="97">
        <f t="shared" si="12"/>
        <v>2.521008403</v>
      </c>
    </row>
    <row r="11" ht="15.75" customHeight="1">
      <c r="A11" s="7" t="s">
        <v>76</v>
      </c>
      <c r="B11" s="68">
        <v>159702.0</v>
      </c>
      <c r="C11" s="94">
        <f t="shared" si="1"/>
        <v>311154.8267</v>
      </c>
      <c r="D11" s="95">
        <f t="shared" si="2"/>
        <v>-151452.8267</v>
      </c>
      <c r="E11" s="34">
        <f t="shared" si="14"/>
        <v>-94.8346462</v>
      </c>
      <c r="F11" s="35">
        <f t="shared" si="15"/>
        <v>-977.1150108</v>
      </c>
      <c r="G11" s="96">
        <v>222404.82666666666</v>
      </c>
      <c r="H11" s="68">
        <v>164.0</v>
      </c>
      <c r="I11" s="68">
        <v>159.0</v>
      </c>
      <c r="J11" s="36">
        <f t="shared" si="16"/>
        <v>72850</v>
      </c>
      <c r="K11" s="68">
        <v>155.0</v>
      </c>
      <c r="L11" s="69">
        <f t="shared" si="5"/>
        <v>15900</v>
      </c>
      <c r="M11" s="68">
        <f t="shared" si="13"/>
        <v>4</v>
      </c>
      <c r="N11" s="39">
        <f t="shared" si="6"/>
        <v>2.51572327</v>
      </c>
      <c r="O11" s="70">
        <f t="shared" si="7"/>
        <v>96.95121951</v>
      </c>
      <c r="P11" s="40">
        <f t="shared" si="8"/>
        <v>97.48427673</v>
      </c>
      <c r="Q11" s="35">
        <f t="shared" si="9"/>
        <v>1356.126992</v>
      </c>
      <c r="R11" s="35">
        <f t="shared" si="10"/>
        <v>1398.772495</v>
      </c>
      <c r="S11" s="35">
        <f t="shared" si="11"/>
        <v>1434.869849</v>
      </c>
      <c r="T11" s="97">
        <f t="shared" si="12"/>
        <v>3.048780488</v>
      </c>
    </row>
    <row r="12" ht="15.75" customHeight="1">
      <c r="A12" s="98" t="s">
        <v>62</v>
      </c>
      <c r="B12" s="98">
        <f>SUM(B4:B11)+150000</f>
        <v>1674368</v>
      </c>
      <c r="C12" s="98"/>
      <c r="D12" s="98">
        <f>SUM(D4:D11)</f>
        <v>235513.52</v>
      </c>
      <c r="E12" s="98"/>
      <c r="F12" s="98"/>
      <c r="G12" s="98">
        <f t="shared" ref="G12:M12" si="17">SUM(G4:G11)</f>
        <v>667214.48</v>
      </c>
      <c r="H12" s="98">
        <f t="shared" si="17"/>
        <v>1587</v>
      </c>
      <c r="I12" s="98">
        <f t="shared" si="17"/>
        <v>1535</v>
      </c>
      <c r="J12" s="98">
        <f t="shared" si="17"/>
        <v>468140</v>
      </c>
      <c r="K12" s="98">
        <f t="shared" si="17"/>
        <v>1361</v>
      </c>
      <c r="L12" s="98">
        <f t="shared" si="17"/>
        <v>153500</v>
      </c>
      <c r="M12" s="98">
        <f t="shared" si="17"/>
        <v>124</v>
      </c>
      <c r="N12" s="98"/>
      <c r="O12" s="98"/>
      <c r="P12" s="98"/>
      <c r="Q12" s="98"/>
      <c r="R12" s="98"/>
      <c r="S12" s="98"/>
      <c r="T12" s="98"/>
      <c r="U12" s="27"/>
      <c r="V12" s="27"/>
      <c r="W12" s="27"/>
      <c r="X12" s="27"/>
      <c r="Y12" s="27"/>
      <c r="Z12" s="27"/>
    </row>
    <row r="13" ht="15.75" customHeight="1"/>
    <row r="14" ht="15.75" customHeight="1">
      <c r="D14" s="101" t="s">
        <v>63</v>
      </c>
    </row>
    <row r="15" ht="15.75" customHeight="1">
      <c r="A15" s="102" t="s">
        <v>32</v>
      </c>
      <c r="B15" s="103">
        <f>B12</f>
        <v>1674368</v>
      </c>
      <c r="C15" s="3"/>
      <c r="D15" s="104" t="s">
        <v>50</v>
      </c>
      <c r="E15" s="105">
        <f>B16/I12</f>
        <v>304.9771987</v>
      </c>
    </row>
    <row r="16" ht="15.75" customHeight="1">
      <c r="A16" s="102" t="s">
        <v>50</v>
      </c>
      <c r="B16" s="103">
        <f>J12</f>
        <v>468140</v>
      </c>
      <c r="C16" s="3"/>
      <c r="D16" s="104" t="s">
        <v>35</v>
      </c>
      <c r="E16" s="105">
        <f>G12/K12</f>
        <v>490.2384129</v>
      </c>
      <c r="G16" s="85"/>
    </row>
    <row r="17" ht="15.75" customHeight="1">
      <c r="A17" s="102" t="s">
        <v>51</v>
      </c>
      <c r="B17" s="103">
        <f>L12</f>
        <v>153500</v>
      </c>
      <c r="C17" s="3"/>
      <c r="D17" s="104" t="s">
        <v>51</v>
      </c>
      <c r="E17" s="105">
        <f>B17/I12</f>
        <v>100</v>
      </c>
    </row>
    <row r="18" ht="15.75" customHeight="1">
      <c r="A18" s="102" t="s">
        <v>52</v>
      </c>
      <c r="B18" s="106">
        <f>G12</f>
        <v>667214.48</v>
      </c>
      <c r="C18" s="3"/>
      <c r="D18" s="104" t="s">
        <v>33</v>
      </c>
      <c r="E18" s="107">
        <v>1230.0</v>
      </c>
    </row>
    <row r="19" ht="15.75" customHeight="1">
      <c r="A19" s="102" t="s">
        <v>64</v>
      </c>
      <c r="B19" s="106">
        <f>B15-(B16+B17+B18)</f>
        <v>385513.52</v>
      </c>
      <c r="C19" s="3"/>
      <c r="D19" s="84"/>
      <c r="E19" s="141"/>
    </row>
    <row r="20" ht="15.75" customHeight="1">
      <c r="A20" s="102" t="s">
        <v>38</v>
      </c>
      <c r="B20" s="106">
        <f>B19/B15*100</f>
        <v>23.02441996</v>
      </c>
      <c r="C20" s="3"/>
      <c r="D20" s="3"/>
      <c r="E20" s="3"/>
    </row>
    <row r="21" ht="15.75" customHeight="1"/>
    <row r="22" ht="15.75" customHeight="1"/>
    <row r="23" ht="15.75" customHeight="1">
      <c r="A23" s="92" t="s">
        <v>75</v>
      </c>
      <c r="B23" s="93" t="s">
        <v>39</v>
      </c>
    </row>
    <row r="24" ht="15.75" customHeight="1"/>
    <row r="25" ht="15.75" customHeight="1">
      <c r="A25" s="54" t="s">
        <v>45</v>
      </c>
      <c r="B25" s="108" t="s">
        <v>3</v>
      </c>
      <c r="C25" s="108" t="s">
        <v>4</v>
      </c>
      <c r="D25" s="108" t="s">
        <v>5</v>
      </c>
      <c r="E25" s="109" t="s">
        <v>6</v>
      </c>
      <c r="F25" s="108" t="s">
        <v>7</v>
      </c>
      <c r="G25" s="108" t="s">
        <v>9</v>
      </c>
      <c r="H25" s="108" t="s">
        <v>11</v>
      </c>
      <c r="I25" s="108" t="s">
        <v>12</v>
      </c>
      <c r="J25" s="108" t="s">
        <v>42</v>
      </c>
      <c r="K25" s="108" t="s">
        <v>43</v>
      </c>
      <c r="L25" s="109" t="s">
        <v>15</v>
      </c>
      <c r="M25" s="98" t="s">
        <v>53</v>
      </c>
      <c r="P25" s="22">
        <v>1076239.03</v>
      </c>
      <c r="Q25" s="21">
        <v>252057.0</v>
      </c>
      <c r="R25" s="22">
        <f t="shared" ref="R25:R31" si="18">P25-Q25</f>
        <v>824182.03</v>
      </c>
    </row>
    <row r="26" ht="15.75" customHeight="1">
      <c r="A26" s="110" t="s">
        <v>24</v>
      </c>
      <c r="B26" s="111">
        <f>104334.25+47204.95</f>
        <v>151539.2</v>
      </c>
      <c r="C26" s="112">
        <f t="shared" ref="C26:C32" si="19">K26+H26</f>
        <v>93659.68</v>
      </c>
      <c r="D26" s="113">
        <f t="shared" ref="D26:D32" si="20">B26-C26</f>
        <v>57879.52</v>
      </c>
      <c r="E26" s="34">
        <f t="shared" ref="E26:E27" si="21">D26/B26*100</f>
        <v>38.19442098</v>
      </c>
      <c r="F26" s="114">
        <f t="shared" ref="F26:F27" si="22">D26/I26</f>
        <v>455.744252</v>
      </c>
      <c r="G26" s="115">
        <f>75+84</f>
        <v>159</v>
      </c>
      <c r="H26" s="36">
        <f>270*I26</f>
        <v>34290</v>
      </c>
      <c r="I26" s="116">
        <f>47+80</f>
        <v>127</v>
      </c>
      <c r="J26" s="36">
        <f t="shared" ref="J26:J27" si="23">G26-I26</f>
        <v>32</v>
      </c>
      <c r="K26" s="117">
        <f>31484.81+27884.87</f>
        <v>59369.68</v>
      </c>
      <c r="L26" s="118">
        <f t="shared" ref="L26:L27" si="24">J26/G26*100</f>
        <v>20.12578616</v>
      </c>
      <c r="M26" s="119">
        <f>11846.04+14803.59</f>
        <v>26649.63</v>
      </c>
      <c r="P26" s="22">
        <v>312552.14</v>
      </c>
      <c r="Q26" s="21">
        <v>7405.0</v>
      </c>
      <c r="R26" s="22">
        <f t="shared" si="18"/>
        <v>305147.14</v>
      </c>
    </row>
    <row r="27" ht="15.75" customHeight="1">
      <c r="A27" s="110" t="s">
        <v>25</v>
      </c>
      <c r="B27" s="111">
        <f>188974.04</f>
        <v>188974.04</v>
      </c>
      <c r="C27" s="112">
        <f t="shared" si="19"/>
        <v>115800.05</v>
      </c>
      <c r="D27" s="113">
        <f t="shared" si="20"/>
        <v>73173.99</v>
      </c>
      <c r="E27" s="34">
        <f t="shared" si="21"/>
        <v>38.72171543</v>
      </c>
      <c r="F27" s="114">
        <f t="shared" si="22"/>
        <v>526.4315827</v>
      </c>
      <c r="G27" s="115">
        <v>154.0</v>
      </c>
      <c r="H27" s="36">
        <f>350*I27</f>
        <v>48650</v>
      </c>
      <c r="I27" s="116">
        <v>139.0</v>
      </c>
      <c r="J27" s="36">
        <f t="shared" si="23"/>
        <v>15</v>
      </c>
      <c r="K27" s="117">
        <f>58710.05+8440</f>
        <v>67150.05</v>
      </c>
      <c r="L27" s="118">
        <f t="shared" si="24"/>
        <v>9.74025974</v>
      </c>
      <c r="M27" s="119">
        <f>30694.02</f>
        <v>30694.02</v>
      </c>
      <c r="P27" s="22">
        <v>84049.91</v>
      </c>
      <c r="Q27" s="21">
        <v>4163.0</v>
      </c>
      <c r="R27" s="22">
        <f t="shared" si="18"/>
        <v>79886.91</v>
      </c>
    </row>
    <row r="28" ht="15.75" customHeight="1">
      <c r="A28" s="110" t="s">
        <v>26</v>
      </c>
      <c r="B28" s="111">
        <v>0.0</v>
      </c>
      <c r="C28" s="112">
        <f t="shared" si="19"/>
        <v>0</v>
      </c>
      <c r="D28" s="113">
        <f t="shared" si="20"/>
        <v>0</v>
      </c>
      <c r="E28" s="34" t="s">
        <v>65</v>
      </c>
      <c r="F28" s="114" t="s">
        <v>65</v>
      </c>
      <c r="G28" s="115">
        <v>0.0</v>
      </c>
      <c r="H28" s="36">
        <f> 980*I28</f>
        <v>0</v>
      </c>
      <c r="I28" s="116">
        <v>0.0</v>
      </c>
      <c r="J28" s="36">
        <v>0.0</v>
      </c>
      <c r="K28" s="117">
        <v>0.0</v>
      </c>
      <c r="L28" s="118">
        <v>0.0</v>
      </c>
      <c r="M28" s="119">
        <v>0.0</v>
      </c>
      <c r="P28" s="22">
        <v>960893.46</v>
      </c>
      <c r="Q28" s="21">
        <v>284095.0</v>
      </c>
      <c r="R28" s="22">
        <f t="shared" si="18"/>
        <v>676798.46</v>
      </c>
    </row>
    <row r="29" ht="15.75" customHeight="1">
      <c r="A29" s="110" t="s">
        <v>27</v>
      </c>
      <c r="B29" s="111">
        <f>3239.64+495184.77</f>
        <v>498424.41</v>
      </c>
      <c r="C29" s="112">
        <f t="shared" si="19"/>
        <v>324482.49</v>
      </c>
      <c r="D29" s="113">
        <f t="shared" si="20"/>
        <v>173941.92</v>
      </c>
      <c r="E29" s="34">
        <f t="shared" ref="E29:E32" si="25">D29/B29*100</f>
        <v>34.898355</v>
      </c>
      <c r="F29" s="114">
        <f t="shared" ref="F29:F32" si="26">D29/I29</f>
        <v>197.6612727</v>
      </c>
      <c r="G29" s="115">
        <f>988+5</f>
        <v>993</v>
      </c>
      <c r="H29" s="36">
        <f>220*I29</f>
        <v>193600</v>
      </c>
      <c r="I29" s="116">
        <f>875+5</f>
        <v>880</v>
      </c>
      <c r="J29" s="36">
        <f t="shared" ref="J29:J32" si="27">G29-I29</f>
        <v>113</v>
      </c>
      <c r="K29" s="117">
        <f>129736.49+1146</f>
        <v>130882.49</v>
      </c>
      <c r="L29" s="118">
        <f t="shared" ref="L29:L32" si="28">J29/G29*100</f>
        <v>11.3796576</v>
      </c>
      <c r="M29" s="119">
        <f>701.66+45742.72</f>
        <v>46444.38</v>
      </c>
      <c r="P29" s="22">
        <v>1343322.48</v>
      </c>
      <c r="Q29" s="21">
        <v>466885.0</v>
      </c>
      <c r="R29" s="22">
        <f t="shared" si="18"/>
        <v>876437.48</v>
      </c>
    </row>
    <row r="30" ht="15.75" customHeight="1">
      <c r="A30" s="110" t="s">
        <v>28</v>
      </c>
      <c r="B30" s="111">
        <f>1260.55+152005.61</f>
        <v>153266.16</v>
      </c>
      <c r="C30" s="112">
        <f t="shared" si="19"/>
        <v>90004.84</v>
      </c>
      <c r="D30" s="113">
        <f t="shared" si="20"/>
        <v>63261.32</v>
      </c>
      <c r="E30" s="34">
        <f t="shared" si="25"/>
        <v>41.27546485</v>
      </c>
      <c r="F30" s="114">
        <f t="shared" si="26"/>
        <v>413.4726797</v>
      </c>
      <c r="G30" s="115">
        <f>2+171</f>
        <v>173</v>
      </c>
      <c r="H30" s="36">
        <f>270*I30</f>
        <v>41310</v>
      </c>
      <c r="I30" s="116">
        <f>153</f>
        <v>153</v>
      </c>
      <c r="J30" s="36">
        <f t="shared" si="27"/>
        <v>20</v>
      </c>
      <c r="K30" s="117">
        <f>334.26+48360.58</f>
        <v>48694.84</v>
      </c>
      <c r="L30" s="118">
        <f t="shared" si="28"/>
        <v>11.56069364</v>
      </c>
      <c r="M30" s="119">
        <f>23893.14+133.26</f>
        <v>24026.4</v>
      </c>
      <c r="P30" s="22">
        <v>208445.6</v>
      </c>
      <c r="Q30" s="21">
        <v>9463.0</v>
      </c>
      <c r="R30" s="22">
        <f t="shared" si="18"/>
        <v>198982.6</v>
      </c>
    </row>
    <row r="31" ht="15.75" customHeight="1">
      <c r="A31" s="110" t="s">
        <v>29</v>
      </c>
      <c r="B31" s="111">
        <f>39992.16+133.82</f>
        <v>40125.98</v>
      </c>
      <c r="C31" s="112">
        <f t="shared" si="19"/>
        <v>19574.95</v>
      </c>
      <c r="D31" s="113">
        <f t="shared" si="20"/>
        <v>20551.03</v>
      </c>
      <c r="E31" s="34">
        <f t="shared" si="25"/>
        <v>51.21626936</v>
      </c>
      <c r="F31" s="114">
        <f t="shared" si="26"/>
        <v>790.4242308</v>
      </c>
      <c r="G31" s="115">
        <v>33.0</v>
      </c>
      <c r="H31" s="36">
        <f>320*I31</f>
        <v>8320</v>
      </c>
      <c r="I31" s="116">
        <v>26.0</v>
      </c>
      <c r="J31" s="36">
        <f t="shared" si="27"/>
        <v>7</v>
      </c>
      <c r="K31" s="117">
        <f>10836.26 +418.69
</f>
        <v>11254.95</v>
      </c>
      <c r="L31" s="118">
        <f t="shared" si="28"/>
        <v>21.21212121</v>
      </c>
      <c r="M31" s="119">
        <f>143.5+5133.84</f>
        <v>5277.34</v>
      </c>
      <c r="P31" s="22">
        <v>548969.15</v>
      </c>
      <c r="Q31" s="21">
        <v>32003.0</v>
      </c>
      <c r="R31" s="22">
        <f t="shared" si="18"/>
        <v>516966.15</v>
      </c>
    </row>
    <row r="32" ht="15.75" customHeight="1">
      <c r="A32" s="110" t="s">
        <v>30</v>
      </c>
      <c r="B32" s="111">
        <f>38078.95+67119.85</f>
        <v>105198.8</v>
      </c>
      <c r="C32" s="112">
        <f t="shared" si="19"/>
        <v>64599.27</v>
      </c>
      <c r="D32" s="113">
        <f t="shared" si="20"/>
        <v>40599.53</v>
      </c>
      <c r="E32" s="34">
        <f t="shared" si="25"/>
        <v>38.59314935</v>
      </c>
      <c r="F32" s="114">
        <f t="shared" si="26"/>
        <v>563.8823611</v>
      </c>
      <c r="G32" s="115">
        <f>51+30</f>
        <v>81</v>
      </c>
      <c r="H32" s="36">
        <f>470*I32</f>
        <v>33840</v>
      </c>
      <c r="I32" s="116">
        <f>27+45</f>
        <v>72</v>
      </c>
      <c r="J32" s="36">
        <f t="shared" si="27"/>
        <v>9</v>
      </c>
      <c r="K32" s="117">
        <f>19685.29+11073.98</f>
        <v>30759.27</v>
      </c>
      <c r="L32" s="118">
        <f t="shared" si="28"/>
        <v>11.11111111</v>
      </c>
      <c r="M32" s="119">
        <f>4223.29+7933.62</f>
        <v>12156.91</v>
      </c>
    </row>
    <row r="33" ht="15.75" customHeight="1">
      <c r="A33" s="21" t="s">
        <v>62</v>
      </c>
      <c r="B33" s="21">
        <f t="shared" ref="B33:D33" si="29">SUM(B26:B32)</f>
        <v>1137528.59</v>
      </c>
      <c r="C33" s="21">
        <f t="shared" si="29"/>
        <v>708121.28</v>
      </c>
      <c r="D33" s="81">
        <f t="shared" si="29"/>
        <v>429407.31</v>
      </c>
      <c r="H33" s="21">
        <f t="shared" ref="H33:I33" si="30">SUM(H26:H32)</f>
        <v>360010</v>
      </c>
      <c r="I33" s="21">
        <f t="shared" si="30"/>
        <v>1397</v>
      </c>
      <c r="M33" s="85">
        <f>SUM(M26:M32)</f>
        <v>145248.68</v>
      </c>
      <c r="P33" s="22">
        <f>SUM(P25:P31)</f>
        <v>4534471.77</v>
      </c>
      <c r="R33" s="22">
        <f>SUM(R25:R31)</f>
        <v>3478400.77</v>
      </c>
    </row>
    <row r="34" ht="15.75" customHeight="1"/>
    <row r="35" ht="15.75" customHeight="1">
      <c r="A35" s="102" t="s">
        <v>32</v>
      </c>
      <c r="B35" s="106">
        <f>B33</f>
        <v>1137528.59</v>
      </c>
    </row>
    <row r="36" ht="15.75" customHeight="1">
      <c r="A36" s="102" t="s">
        <v>50</v>
      </c>
      <c r="B36" s="103">
        <f>H33</f>
        <v>360010</v>
      </c>
    </row>
    <row r="37" ht="15.75" customHeight="1">
      <c r="A37" s="102" t="s">
        <v>54</v>
      </c>
      <c r="B37" s="106">
        <f>sum(K26:K32)</f>
        <v>348111.28</v>
      </c>
    </row>
    <row r="38" ht="15.75" customHeight="1">
      <c r="A38" s="102" t="s">
        <v>52</v>
      </c>
      <c r="B38" s="106">
        <f>sum(M26:M32)</f>
        <v>145248.68</v>
      </c>
    </row>
    <row r="39" ht="15.75" customHeight="1">
      <c r="A39" s="102" t="s">
        <v>36</v>
      </c>
      <c r="B39" s="106">
        <f>B35-(B36+B37+B38)</f>
        <v>284158.63</v>
      </c>
    </row>
    <row r="40" ht="15.75" customHeight="1">
      <c r="A40" s="102" t="s">
        <v>38</v>
      </c>
      <c r="B40" s="120">
        <f>B39/B35*100</f>
        <v>24.9803506</v>
      </c>
    </row>
    <row r="41" ht="15.75" customHeight="1"/>
    <row r="42" ht="15.75" customHeight="1"/>
    <row r="43" ht="15.75" customHeight="1">
      <c r="A43" s="92" t="s">
        <v>75</v>
      </c>
      <c r="B43" s="93" t="s">
        <v>66</v>
      </c>
    </row>
    <row r="44" ht="15.75" customHeight="1"/>
    <row r="45" ht="15.75" customHeight="1">
      <c r="A45" s="54" t="s">
        <v>45</v>
      </c>
      <c r="B45" s="108" t="s">
        <v>3</v>
      </c>
      <c r="C45" s="108" t="s">
        <v>4</v>
      </c>
      <c r="D45" s="108" t="s">
        <v>5</v>
      </c>
      <c r="E45" s="109" t="s">
        <v>6</v>
      </c>
      <c r="F45" s="108" t="s">
        <v>7</v>
      </c>
      <c r="G45" s="108" t="s">
        <v>9</v>
      </c>
      <c r="H45" s="108" t="s">
        <v>11</v>
      </c>
      <c r="I45" s="108" t="s">
        <v>12</v>
      </c>
      <c r="J45" s="108" t="s">
        <v>42</v>
      </c>
      <c r="K45" s="108" t="s">
        <v>67</v>
      </c>
      <c r="L45" s="109" t="s">
        <v>15</v>
      </c>
      <c r="M45" s="98" t="s">
        <v>53</v>
      </c>
      <c r="P45" s="22">
        <v>1076239.03</v>
      </c>
      <c r="Q45" s="21">
        <v>252057.0</v>
      </c>
      <c r="R45" s="22">
        <f t="shared" ref="R45:R51" si="31">P45-Q45</f>
        <v>824182.03</v>
      </c>
    </row>
    <row r="46" ht="15.75" customHeight="1">
      <c r="A46" s="110" t="s">
        <v>24</v>
      </c>
      <c r="B46" s="111">
        <f>13637</f>
        <v>13637</v>
      </c>
      <c r="C46" s="112">
        <f t="shared" ref="C46:C52" si="32">K46+H46</f>
        <v>8094.55</v>
      </c>
      <c r="D46" s="113">
        <f t="shared" ref="D46:D52" si="33">B46-C46</f>
        <v>5542.45</v>
      </c>
      <c r="E46" s="34">
        <f t="shared" ref="E46:E47" si="34">D46/B46*100</f>
        <v>40.64273667</v>
      </c>
      <c r="F46" s="114">
        <f t="shared" ref="F46:F47" si="35">D46/I46</f>
        <v>426.3423077</v>
      </c>
      <c r="G46" s="115">
        <v>18.0</v>
      </c>
      <c r="H46" s="36">
        <f>270*I46</f>
        <v>3510</v>
      </c>
      <c r="I46" s="116">
        <v>13.0</v>
      </c>
      <c r="J46" s="36">
        <f t="shared" ref="J46:J47" si="36">G46-I46</f>
        <v>5</v>
      </c>
      <c r="K46" s="117">
        <f>4584.55</f>
        <v>4584.55</v>
      </c>
      <c r="L46" s="118">
        <f t="shared" ref="L46:L47" si="37">J46/G46*100</f>
        <v>27.77777778</v>
      </c>
      <c r="M46" s="119">
        <v>0.0</v>
      </c>
      <c r="P46" s="22">
        <v>312552.14</v>
      </c>
      <c r="Q46" s="21">
        <v>7405.0</v>
      </c>
      <c r="R46" s="22">
        <f t="shared" si="31"/>
        <v>305147.14</v>
      </c>
    </row>
    <row r="47" ht="15.75" customHeight="1">
      <c r="A47" s="110" t="s">
        <v>25</v>
      </c>
      <c r="B47" s="111">
        <f>17388</f>
        <v>17388</v>
      </c>
      <c r="C47" s="112">
        <f t="shared" si="32"/>
        <v>8942.28</v>
      </c>
      <c r="D47" s="113">
        <f t="shared" si="33"/>
        <v>8445.72</v>
      </c>
      <c r="E47" s="34">
        <f t="shared" si="34"/>
        <v>48.5721187</v>
      </c>
      <c r="F47" s="114">
        <f t="shared" si="35"/>
        <v>703.81</v>
      </c>
      <c r="G47" s="115">
        <v>12.0</v>
      </c>
      <c r="H47" s="36">
        <f>350*I47</f>
        <v>4200</v>
      </c>
      <c r="I47" s="116">
        <v>12.0</v>
      </c>
      <c r="J47" s="36">
        <f t="shared" si="36"/>
        <v>0</v>
      </c>
      <c r="K47" s="117">
        <f>4742.28</f>
        <v>4742.28</v>
      </c>
      <c r="L47" s="118">
        <f t="shared" si="37"/>
        <v>0</v>
      </c>
      <c r="M47" s="119">
        <v>0.0</v>
      </c>
      <c r="P47" s="22">
        <v>84049.91</v>
      </c>
      <c r="Q47" s="21">
        <v>4163.0</v>
      </c>
      <c r="R47" s="22">
        <f t="shared" si="31"/>
        <v>79886.91</v>
      </c>
    </row>
    <row r="48" ht="15.75" customHeight="1">
      <c r="A48" s="110" t="s">
        <v>26</v>
      </c>
      <c r="B48" s="111">
        <v>0.0</v>
      </c>
      <c r="C48" s="112">
        <f t="shared" si="32"/>
        <v>0</v>
      </c>
      <c r="D48" s="113">
        <f t="shared" si="33"/>
        <v>0</v>
      </c>
      <c r="E48" s="34" t="s">
        <v>65</v>
      </c>
      <c r="F48" s="114" t="s">
        <v>65</v>
      </c>
      <c r="G48" s="115">
        <v>0.0</v>
      </c>
      <c r="H48" s="36">
        <f> 980*I48</f>
        <v>0</v>
      </c>
      <c r="I48" s="116">
        <v>0.0</v>
      </c>
      <c r="J48" s="36">
        <v>0.0</v>
      </c>
      <c r="K48" s="117">
        <v>0.0</v>
      </c>
      <c r="L48" s="118">
        <v>0.0</v>
      </c>
      <c r="M48" s="119">
        <v>0.0</v>
      </c>
      <c r="P48" s="22">
        <v>960893.46</v>
      </c>
      <c r="Q48" s="21">
        <v>284095.0</v>
      </c>
      <c r="R48" s="22">
        <f t="shared" si="31"/>
        <v>676798.46</v>
      </c>
    </row>
    <row r="49" ht="15.75" customHeight="1">
      <c r="A49" s="110" t="s">
        <v>27</v>
      </c>
      <c r="B49" s="111">
        <f>8540</f>
        <v>8540</v>
      </c>
      <c r="C49" s="112">
        <f t="shared" si="32"/>
        <v>6272</v>
      </c>
      <c r="D49" s="113">
        <f t="shared" si="33"/>
        <v>2268</v>
      </c>
      <c r="E49" s="34">
        <f t="shared" ref="E49:E52" si="38">D49/B49*100</f>
        <v>26.55737705</v>
      </c>
      <c r="F49" s="114">
        <f t="shared" ref="F49:F51" si="39">D49/I49</f>
        <v>162</v>
      </c>
      <c r="G49" s="115">
        <v>19.0</v>
      </c>
      <c r="H49" s="36">
        <f>220*I49</f>
        <v>3080</v>
      </c>
      <c r="I49" s="116">
        <v>14.0</v>
      </c>
      <c r="J49" s="36">
        <f t="shared" ref="J49:J52" si="40">G49-I49</f>
        <v>5</v>
      </c>
      <c r="K49" s="117">
        <f>3192</f>
        <v>3192</v>
      </c>
      <c r="L49" s="118">
        <f t="shared" ref="L49:L51" si="41">J49/G49*100</f>
        <v>26.31578947</v>
      </c>
      <c r="M49" s="119">
        <v>0.0</v>
      </c>
      <c r="P49" s="22">
        <v>1343322.48</v>
      </c>
      <c r="Q49" s="21">
        <v>466885.0</v>
      </c>
      <c r="R49" s="22">
        <f t="shared" si="31"/>
        <v>876437.48</v>
      </c>
    </row>
    <row r="50" ht="15.75" customHeight="1">
      <c r="A50" s="110" t="s">
        <v>28</v>
      </c>
      <c r="B50" s="111">
        <f>4396</f>
        <v>4396</v>
      </c>
      <c r="C50" s="112">
        <f t="shared" si="32"/>
        <v>2374.8</v>
      </c>
      <c r="D50" s="113">
        <f t="shared" si="33"/>
        <v>2021.2</v>
      </c>
      <c r="E50" s="34">
        <f t="shared" si="38"/>
        <v>45.97816197</v>
      </c>
      <c r="F50" s="114">
        <f t="shared" si="39"/>
        <v>505.3</v>
      </c>
      <c r="G50" s="115">
        <v>4.0</v>
      </c>
      <c r="H50" s="36">
        <f>270*I50</f>
        <v>1080</v>
      </c>
      <c r="I50" s="116">
        <v>4.0</v>
      </c>
      <c r="J50" s="36">
        <f t="shared" si="40"/>
        <v>0</v>
      </c>
      <c r="K50" s="117">
        <f>1294.8</f>
        <v>1294.8</v>
      </c>
      <c r="L50" s="118">
        <f t="shared" si="41"/>
        <v>0</v>
      </c>
      <c r="M50" s="119">
        <v>0.0</v>
      </c>
      <c r="P50" s="22">
        <v>208445.6</v>
      </c>
      <c r="Q50" s="21">
        <v>9463.0</v>
      </c>
      <c r="R50" s="22">
        <f t="shared" si="31"/>
        <v>198982.6</v>
      </c>
    </row>
    <row r="51" ht="15.75" customHeight="1">
      <c r="A51" s="110" t="s">
        <v>29</v>
      </c>
      <c r="B51" s="111">
        <f>19984</f>
        <v>19984</v>
      </c>
      <c r="C51" s="112">
        <f t="shared" si="32"/>
        <v>11575.94</v>
      </c>
      <c r="D51" s="113">
        <f t="shared" si="33"/>
        <v>8408.06</v>
      </c>
      <c r="E51" s="34">
        <f t="shared" si="38"/>
        <v>42.07395917</v>
      </c>
      <c r="F51" s="114">
        <f t="shared" si="39"/>
        <v>525.50375</v>
      </c>
      <c r="G51" s="115">
        <v>28.0</v>
      </c>
      <c r="H51" s="36">
        <f>320*I51</f>
        <v>5120</v>
      </c>
      <c r="I51" s="116">
        <v>16.0</v>
      </c>
      <c r="J51" s="36">
        <f t="shared" si="40"/>
        <v>12</v>
      </c>
      <c r="K51" s="117">
        <f>6455.94</f>
        <v>6455.94</v>
      </c>
      <c r="L51" s="118">
        <f t="shared" si="41"/>
        <v>42.85714286</v>
      </c>
      <c r="M51" s="119">
        <v>0.0</v>
      </c>
      <c r="P51" s="22">
        <v>548969.15</v>
      </c>
      <c r="Q51" s="21">
        <v>32003.0</v>
      </c>
      <c r="R51" s="22">
        <f t="shared" si="31"/>
        <v>516966.15</v>
      </c>
    </row>
    <row r="52" ht="15.75" customHeight="1">
      <c r="A52" s="110" t="s">
        <v>30</v>
      </c>
      <c r="B52" s="111">
        <v>0.0</v>
      </c>
      <c r="C52" s="112">
        <f t="shared" si="32"/>
        <v>0</v>
      </c>
      <c r="D52" s="113">
        <f t="shared" si="33"/>
        <v>0</v>
      </c>
      <c r="E52" s="34" t="str">
        <f t="shared" si="38"/>
        <v>#DIV/0!</v>
      </c>
      <c r="F52" s="114"/>
      <c r="G52" s="115">
        <v>0.0</v>
      </c>
      <c r="H52" s="36">
        <f>470*I52</f>
        <v>0</v>
      </c>
      <c r="I52" s="116">
        <v>0.0</v>
      </c>
      <c r="J52" s="36">
        <f t="shared" si="40"/>
        <v>0</v>
      </c>
      <c r="K52" s="117">
        <v>0.0</v>
      </c>
      <c r="L52" s="118"/>
      <c r="M52" s="119">
        <v>0.0</v>
      </c>
    </row>
    <row r="53" ht="15.75" customHeight="1">
      <c r="A53" s="21" t="s">
        <v>62</v>
      </c>
      <c r="B53" s="21">
        <f>SUM(B46:B52)</f>
        <v>63945</v>
      </c>
      <c r="H53" s="21">
        <f t="shared" ref="H53:I53" si="42">SUM(H46:H52)</f>
        <v>16990</v>
      </c>
      <c r="I53" s="21">
        <f t="shared" si="42"/>
        <v>59</v>
      </c>
      <c r="K53" s="21">
        <f>SUM(K46:K52)</f>
        <v>20269.57</v>
      </c>
    </row>
    <row r="54" ht="15.75" customHeight="1"/>
    <row r="55" ht="15.75" customHeight="1">
      <c r="A55" s="102" t="s">
        <v>32</v>
      </c>
      <c r="B55" s="103">
        <f>sum(B46:B52)</f>
        <v>63945</v>
      </c>
    </row>
    <row r="56" ht="15.75" customHeight="1">
      <c r="A56" s="102" t="s">
        <v>50</v>
      </c>
      <c r="B56" s="103">
        <f>H53</f>
        <v>16990</v>
      </c>
    </row>
    <row r="57" ht="15.75" customHeight="1">
      <c r="A57" s="102" t="s">
        <v>68</v>
      </c>
      <c r="B57" s="106">
        <f>sum(K46:K52)</f>
        <v>20269.57</v>
      </c>
    </row>
    <row r="58" ht="15.75" customHeight="1">
      <c r="A58" s="102" t="s">
        <v>52</v>
      </c>
      <c r="B58" s="103">
        <v>2600.0</v>
      </c>
    </row>
    <row r="59" ht="15.75" customHeight="1">
      <c r="A59" s="102" t="s">
        <v>36</v>
      </c>
      <c r="B59" s="106">
        <f>B55-(B56+B57+B58)</f>
        <v>24085.43</v>
      </c>
    </row>
    <row r="60" ht="15.75" customHeight="1">
      <c r="A60" s="102" t="s">
        <v>38</v>
      </c>
      <c r="B60" s="120">
        <f>B59/B55*100</f>
        <v>37.66585347</v>
      </c>
    </row>
    <row r="61" ht="15.75" customHeight="1">
      <c r="F61" s="3"/>
      <c r="G61" s="45"/>
    </row>
    <row r="62" ht="15.75" customHeight="1">
      <c r="F62" s="3"/>
      <c r="G62" s="45"/>
    </row>
    <row r="63" ht="15.75" customHeight="1">
      <c r="A63" s="92" t="s">
        <v>75</v>
      </c>
      <c r="B63" s="93" t="s">
        <v>69</v>
      </c>
    </row>
    <row r="64" ht="15.75" customHeight="1"/>
    <row r="65" ht="15.75" customHeight="1">
      <c r="A65" s="54" t="s">
        <v>45</v>
      </c>
      <c r="B65" s="108" t="s">
        <v>3</v>
      </c>
      <c r="C65" s="108" t="s">
        <v>4</v>
      </c>
      <c r="D65" s="108" t="s">
        <v>5</v>
      </c>
      <c r="E65" s="109" t="s">
        <v>6</v>
      </c>
      <c r="F65" s="108" t="s">
        <v>7</v>
      </c>
      <c r="G65" s="108" t="s">
        <v>9</v>
      </c>
      <c r="H65" s="108" t="s">
        <v>11</v>
      </c>
      <c r="I65" s="108" t="s">
        <v>12</v>
      </c>
      <c r="J65" s="108" t="s">
        <v>42</v>
      </c>
      <c r="K65" s="108" t="s">
        <v>70</v>
      </c>
      <c r="L65" s="109" t="s">
        <v>15</v>
      </c>
      <c r="M65" s="21" t="s">
        <v>71</v>
      </c>
      <c r="O65" s="22"/>
    </row>
    <row r="66" ht="15.75" customHeight="1">
      <c r="A66" s="110" t="s">
        <v>24</v>
      </c>
      <c r="B66" s="111">
        <f>689*I66</f>
        <v>123331</v>
      </c>
      <c r="C66" s="112">
        <f t="shared" ref="C66:C67" si="43">K66+H66</f>
        <v>90342</v>
      </c>
      <c r="D66" s="113">
        <f t="shared" ref="D66:D67" si="44">B66-C66</f>
        <v>32989</v>
      </c>
      <c r="E66" s="34">
        <f t="shared" ref="E66:E67" si="45">D66/B66*100</f>
        <v>26.74834389</v>
      </c>
      <c r="F66" s="114">
        <f t="shared" ref="F66:F67" si="46">D66/I66</f>
        <v>184.2960894</v>
      </c>
      <c r="G66" s="115">
        <v>179.0</v>
      </c>
      <c r="H66" s="36">
        <f>270*I66</f>
        <v>48330</v>
      </c>
      <c r="I66" s="116">
        <v>179.0</v>
      </c>
      <c r="J66" s="36">
        <f>G66-I66</f>
        <v>0</v>
      </c>
      <c r="K66" s="117">
        <f>42012</f>
        <v>42012</v>
      </c>
      <c r="L66" s="118">
        <f t="shared" ref="L66:L67" si="47">J66/G66*100</f>
        <v>0</v>
      </c>
      <c r="M66" s="21">
        <f t="shared" ref="M66:M67" si="48">G66*20</f>
        <v>3580</v>
      </c>
      <c r="O66" s="22"/>
    </row>
    <row r="67" ht="15.75" customHeight="1">
      <c r="A67" s="110" t="s">
        <v>27</v>
      </c>
      <c r="B67" s="111">
        <f>359*I67</f>
        <v>28361</v>
      </c>
      <c r="C67" s="112">
        <f t="shared" si="43"/>
        <v>31534</v>
      </c>
      <c r="D67" s="113">
        <f t="shared" si="44"/>
        <v>-3173</v>
      </c>
      <c r="E67" s="34">
        <f t="shared" si="45"/>
        <v>-11.18789888</v>
      </c>
      <c r="F67" s="114">
        <f t="shared" si="46"/>
        <v>-40.16455696</v>
      </c>
      <c r="G67" s="115">
        <v>79.0</v>
      </c>
      <c r="H67" s="36">
        <f>220*I67</f>
        <v>17380</v>
      </c>
      <c r="I67" s="116">
        <v>79.0</v>
      </c>
      <c r="J67" s="36">
        <v>0.0</v>
      </c>
      <c r="K67" s="117">
        <v>14154.0</v>
      </c>
      <c r="L67" s="118">
        <f t="shared" si="47"/>
        <v>0</v>
      </c>
      <c r="M67" s="21">
        <f t="shared" si="48"/>
        <v>1580</v>
      </c>
      <c r="O67" s="22"/>
    </row>
    <row r="68" ht="15.75" customHeight="1">
      <c r="H68" s="21">
        <f t="shared" ref="H68:I68" si="49">SUM(H66:H67)</f>
        <v>65710</v>
      </c>
      <c r="I68" s="21">
        <f t="shared" si="49"/>
        <v>258</v>
      </c>
      <c r="K68" s="21">
        <f>SUM(K66:K67)</f>
        <v>56166</v>
      </c>
      <c r="M68" s="21">
        <f>SUM(M66:M67)</f>
        <v>5160</v>
      </c>
    </row>
    <row r="69" ht="15.75" customHeight="1"/>
    <row r="70" ht="15.75" customHeight="1">
      <c r="A70" s="102" t="s">
        <v>32</v>
      </c>
      <c r="B70" s="103">
        <f>sum(B66:B67)</f>
        <v>151692</v>
      </c>
    </row>
    <row r="71" ht="15.75" customHeight="1">
      <c r="A71" s="102" t="s">
        <v>50</v>
      </c>
      <c r="B71" s="103">
        <f>H68</f>
        <v>65710</v>
      </c>
    </row>
    <row r="72" ht="15.75" customHeight="1">
      <c r="A72" s="102" t="s">
        <v>73</v>
      </c>
      <c r="B72" s="103">
        <f>M68</f>
        <v>5160</v>
      </c>
    </row>
    <row r="73" ht="15.75" customHeight="1">
      <c r="A73" s="102" t="s">
        <v>74</v>
      </c>
      <c r="B73" s="103">
        <f>sum(K66:K67)</f>
        <v>56166</v>
      </c>
    </row>
    <row r="74" ht="15.75" customHeight="1">
      <c r="A74" s="102" t="s">
        <v>36</v>
      </c>
      <c r="B74" s="103">
        <f>B70-(B71+B72+B73)</f>
        <v>24656</v>
      </c>
    </row>
    <row r="75" ht="15.75" customHeight="1">
      <c r="A75" s="102" t="s">
        <v>38</v>
      </c>
      <c r="B75" s="120">
        <f>B74/B70*100</f>
        <v>16.25398834</v>
      </c>
    </row>
    <row r="76" ht="15.75" customHeight="1">
      <c r="F76" s="3"/>
      <c r="G76" s="45"/>
    </row>
    <row r="77" ht="15.75" customHeight="1">
      <c r="F77" s="3"/>
      <c r="G77" s="45"/>
    </row>
    <row r="78" ht="15.75" customHeight="1">
      <c r="F78" s="3"/>
      <c r="G78" s="45"/>
    </row>
    <row r="79" ht="15.75" customHeight="1">
      <c r="F79" s="3"/>
      <c r="G79" s="45"/>
    </row>
    <row r="80" ht="15.75" customHeight="1">
      <c r="F80" s="3"/>
      <c r="G80" s="45"/>
    </row>
    <row r="81" ht="15.75" customHeight="1">
      <c r="A81" s="121"/>
      <c r="B81" s="122"/>
      <c r="E81" s="123"/>
      <c r="F81" s="124"/>
      <c r="G81" s="45"/>
    </row>
    <row r="82" ht="15.75" customHeight="1">
      <c r="A82" s="125"/>
      <c r="B82" s="126"/>
      <c r="C82" s="81"/>
      <c r="E82" s="123"/>
      <c r="F82" s="124"/>
      <c r="G82" s="47"/>
    </row>
    <row r="83" ht="15.75" customHeight="1">
      <c r="A83" s="127"/>
      <c r="B83" s="128"/>
      <c r="C83" s="81"/>
      <c r="E83" s="123"/>
      <c r="F83" s="124"/>
    </row>
    <row r="84" ht="15.75" customHeight="1">
      <c r="A84" s="129"/>
      <c r="B84" s="130"/>
      <c r="C84" s="81"/>
      <c r="E84" s="123"/>
      <c r="F84" s="124"/>
    </row>
    <row r="85" ht="15.75" customHeight="1">
      <c r="A85" s="131"/>
      <c r="B85" s="132"/>
      <c r="C85" s="81"/>
      <c r="E85" s="123"/>
      <c r="F85" s="124"/>
    </row>
    <row r="86" ht="15.75" customHeight="1">
      <c r="A86" s="133"/>
      <c r="B86" s="134"/>
      <c r="E86" s="135"/>
      <c r="F86" s="136"/>
    </row>
    <row r="87" ht="15.75" customHeight="1">
      <c r="A87" s="137"/>
      <c r="B87" s="138"/>
    </row>
    <row r="88" ht="15.75" customHeight="1">
      <c r="A88" s="139"/>
      <c r="B88" s="140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10" max="10" width="15.75"/>
    <col customWidth="1" min="12" max="12" width="16.38"/>
    <col customWidth="1" min="13" max="13" width="13.88"/>
  </cols>
  <sheetData>
    <row r="1" ht="15.75" customHeight="1">
      <c r="A1" s="92" t="s">
        <v>77</v>
      </c>
      <c r="B1" s="9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7" t="s">
        <v>2</v>
      </c>
      <c r="B3" s="29" t="s">
        <v>3</v>
      </c>
      <c r="C3" s="29" t="s">
        <v>4</v>
      </c>
      <c r="D3" s="29" t="s">
        <v>5</v>
      </c>
      <c r="E3" s="30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14</v>
      </c>
      <c r="M3" s="29" t="s">
        <v>13</v>
      </c>
      <c r="N3" s="30" t="s">
        <v>15</v>
      </c>
      <c r="O3" s="30" t="s">
        <v>16</v>
      </c>
      <c r="P3" s="30" t="s">
        <v>17</v>
      </c>
      <c r="Q3" s="30" t="s">
        <v>20</v>
      </c>
      <c r="R3" s="30" t="s">
        <v>21</v>
      </c>
      <c r="S3" s="29" t="s">
        <v>22</v>
      </c>
      <c r="T3" s="29" t="s">
        <v>23</v>
      </c>
    </row>
    <row r="4" ht="15.75" customHeight="1">
      <c r="A4" s="7" t="s">
        <v>24</v>
      </c>
      <c r="B4" s="68">
        <v>191397.0</v>
      </c>
      <c r="C4" s="32">
        <f t="shared" ref="C4:C17" si="1">G4+J4+L4</f>
        <v>66990</v>
      </c>
      <c r="D4" s="33">
        <f t="shared" ref="D4:D17" si="2">B4-C4</f>
        <v>124407</v>
      </c>
      <c r="E4" s="34">
        <f t="shared" ref="E4:E17" si="3">D4/B4*100</f>
        <v>64.9994514</v>
      </c>
      <c r="F4" s="35">
        <f t="shared" ref="F4:F17" si="4">D4/K4</f>
        <v>710.8971429</v>
      </c>
      <c r="G4" s="68"/>
      <c r="H4" s="68">
        <v>189.0</v>
      </c>
      <c r="I4" s="68">
        <v>188.0</v>
      </c>
      <c r="J4" s="36">
        <f>270*K4</f>
        <v>47250</v>
      </c>
      <c r="K4" s="68">
        <v>175.0</v>
      </c>
      <c r="L4" s="69">
        <f>I4*105</f>
        <v>19740</v>
      </c>
      <c r="M4" s="68">
        <f t="shared" ref="M4:M17" si="5">I4-K4</f>
        <v>13</v>
      </c>
      <c r="N4" s="39">
        <f t="shared" ref="N4:N17" si="6">M4/I4*100</f>
        <v>6.914893617</v>
      </c>
      <c r="O4" s="70">
        <f t="shared" ref="O4:O17" si="7">I4/H4*100</f>
        <v>99.47089947</v>
      </c>
      <c r="P4" s="40">
        <f t="shared" ref="P4:P17" si="8">K4/I4*100</f>
        <v>93.08510638</v>
      </c>
      <c r="Q4" s="35">
        <f t="shared" ref="Q4:Q17" si="9">G4/H4</f>
        <v>0</v>
      </c>
      <c r="R4" s="35">
        <f t="shared" ref="R4:R17" si="10">G4/I4</f>
        <v>0</v>
      </c>
      <c r="S4" s="35">
        <f t="shared" ref="S4:S17" si="11">G4/K4</f>
        <v>0</v>
      </c>
      <c r="T4" s="35">
        <f t="shared" ref="T4:T17" si="12">100-O4</f>
        <v>0.5291005291</v>
      </c>
    </row>
    <row r="5" ht="15.75" customHeight="1">
      <c r="A5" s="7" t="s">
        <v>25</v>
      </c>
      <c r="B5" s="68">
        <v>1103308.0</v>
      </c>
      <c r="C5" s="94">
        <f t="shared" si="1"/>
        <v>401850</v>
      </c>
      <c r="D5" s="95">
        <f t="shared" si="2"/>
        <v>701458</v>
      </c>
      <c r="E5" s="34">
        <f t="shared" si="3"/>
        <v>63.57771357</v>
      </c>
      <c r="F5" s="35">
        <f t="shared" si="4"/>
        <v>801.6662857</v>
      </c>
      <c r="G5" s="96"/>
      <c r="H5" s="68">
        <v>990.0</v>
      </c>
      <c r="I5" s="68">
        <v>956.0</v>
      </c>
      <c r="J5" s="36">
        <f>350*K5</f>
        <v>306250</v>
      </c>
      <c r="K5" s="68">
        <v>875.0</v>
      </c>
      <c r="L5" s="69">
        <f t="shared" ref="L5:L17" si="13">I5*100</f>
        <v>95600</v>
      </c>
      <c r="M5" s="68">
        <f t="shared" si="5"/>
        <v>81</v>
      </c>
      <c r="N5" s="39">
        <f t="shared" si="6"/>
        <v>8.472803347</v>
      </c>
      <c r="O5" s="70">
        <f t="shared" si="7"/>
        <v>96.56565657</v>
      </c>
      <c r="P5" s="40">
        <f t="shared" si="8"/>
        <v>91.52719665</v>
      </c>
      <c r="Q5" s="35">
        <f t="shared" si="9"/>
        <v>0</v>
      </c>
      <c r="R5" s="35">
        <f t="shared" si="10"/>
        <v>0</v>
      </c>
      <c r="S5" s="35">
        <f t="shared" si="11"/>
        <v>0</v>
      </c>
      <c r="T5" s="35">
        <f t="shared" si="12"/>
        <v>3.434343434</v>
      </c>
    </row>
    <row r="6" ht="15.75" customHeight="1">
      <c r="A6" s="7" t="s">
        <v>26</v>
      </c>
      <c r="B6" s="68">
        <v>25786.0</v>
      </c>
      <c r="C6" s="32">
        <f t="shared" si="1"/>
        <v>11150</v>
      </c>
      <c r="D6" s="33">
        <f t="shared" si="2"/>
        <v>14636</v>
      </c>
      <c r="E6" s="34">
        <f t="shared" si="3"/>
        <v>56.75948189</v>
      </c>
      <c r="F6" s="35">
        <f t="shared" si="4"/>
        <v>1125.846154</v>
      </c>
      <c r="G6" s="68"/>
      <c r="H6" s="68">
        <v>14.0</v>
      </c>
      <c r="I6" s="68">
        <v>14.0</v>
      </c>
      <c r="J6" s="36">
        <f> 750*K6</f>
        <v>9750</v>
      </c>
      <c r="K6" s="68">
        <v>13.0</v>
      </c>
      <c r="L6" s="69">
        <f t="shared" si="13"/>
        <v>1400</v>
      </c>
      <c r="M6" s="68">
        <f t="shared" si="5"/>
        <v>1</v>
      </c>
      <c r="N6" s="39">
        <f t="shared" si="6"/>
        <v>7.142857143</v>
      </c>
      <c r="O6" s="70">
        <f t="shared" si="7"/>
        <v>100</v>
      </c>
      <c r="P6" s="40">
        <f t="shared" si="8"/>
        <v>92.85714286</v>
      </c>
      <c r="Q6" s="35">
        <f t="shared" si="9"/>
        <v>0</v>
      </c>
      <c r="R6" s="35">
        <f t="shared" si="10"/>
        <v>0</v>
      </c>
      <c r="S6" s="35">
        <f t="shared" si="11"/>
        <v>0</v>
      </c>
      <c r="T6" s="35">
        <f t="shared" si="12"/>
        <v>0</v>
      </c>
    </row>
    <row r="7" ht="15.75" customHeight="1">
      <c r="A7" s="7" t="s">
        <v>27</v>
      </c>
      <c r="B7" s="68">
        <v>94646.0</v>
      </c>
      <c r="C7" s="32">
        <f t="shared" si="1"/>
        <v>58400</v>
      </c>
      <c r="D7" s="33">
        <f t="shared" si="2"/>
        <v>36246</v>
      </c>
      <c r="E7" s="34">
        <f t="shared" si="3"/>
        <v>38.29638865</v>
      </c>
      <c r="F7" s="35">
        <f t="shared" si="4"/>
        <v>201.3666667</v>
      </c>
      <c r="G7" s="68"/>
      <c r="H7" s="68">
        <v>192.0</v>
      </c>
      <c r="I7" s="68">
        <v>188.0</v>
      </c>
      <c r="J7" s="36">
        <f>220*K7</f>
        <v>39600</v>
      </c>
      <c r="K7" s="68">
        <v>180.0</v>
      </c>
      <c r="L7" s="69">
        <f t="shared" si="13"/>
        <v>18800</v>
      </c>
      <c r="M7" s="68">
        <f t="shared" si="5"/>
        <v>8</v>
      </c>
      <c r="N7" s="39">
        <f t="shared" si="6"/>
        <v>4.255319149</v>
      </c>
      <c r="O7" s="70">
        <f t="shared" si="7"/>
        <v>97.91666667</v>
      </c>
      <c r="P7" s="40">
        <f t="shared" si="8"/>
        <v>95.74468085</v>
      </c>
      <c r="Q7" s="35">
        <f t="shared" si="9"/>
        <v>0</v>
      </c>
      <c r="R7" s="35">
        <f t="shared" si="10"/>
        <v>0</v>
      </c>
      <c r="S7" s="35">
        <f t="shared" si="11"/>
        <v>0</v>
      </c>
      <c r="T7" s="35">
        <f t="shared" si="12"/>
        <v>2.083333333</v>
      </c>
    </row>
    <row r="8" ht="15.75" customHeight="1">
      <c r="A8" s="7" t="s">
        <v>28</v>
      </c>
      <c r="B8" s="68">
        <v>86821.0</v>
      </c>
      <c r="C8" s="32">
        <f t="shared" si="1"/>
        <v>27810</v>
      </c>
      <c r="D8" s="33">
        <f t="shared" si="2"/>
        <v>59011</v>
      </c>
      <c r="E8" s="34">
        <f t="shared" si="3"/>
        <v>67.96857903</v>
      </c>
      <c r="F8" s="35">
        <f t="shared" si="4"/>
        <v>808.369863</v>
      </c>
      <c r="G8" s="68"/>
      <c r="H8" s="68">
        <v>85.0</v>
      </c>
      <c r="I8" s="68">
        <v>81.0</v>
      </c>
      <c r="J8" s="36">
        <f>270*K8</f>
        <v>19710</v>
      </c>
      <c r="K8" s="68">
        <v>73.0</v>
      </c>
      <c r="L8" s="69">
        <f t="shared" si="13"/>
        <v>8100</v>
      </c>
      <c r="M8" s="68">
        <f t="shared" si="5"/>
        <v>8</v>
      </c>
      <c r="N8" s="39">
        <f t="shared" si="6"/>
        <v>9.87654321</v>
      </c>
      <c r="O8" s="70">
        <f t="shared" si="7"/>
        <v>95.29411765</v>
      </c>
      <c r="P8" s="40">
        <f t="shared" si="8"/>
        <v>90.12345679</v>
      </c>
      <c r="Q8" s="35">
        <f t="shared" si="9"/>
        <v>0</v>
      </c>
      <c r="R8" s="35">
        <f t="shared" si="10"/>
        <v>0</v>
      </c>
      <c r="S8" s="35">
        <f t="shared" si="11"/>
        <v>0</v>
      </c>
      <c r="T8" s="35">
        <f t="shared" si="12"/>
        <v>4.705882353</v>
      </c>
    </row>
    <row r="9" ht="15.75" customHeight="1">
      <c r="A9" s="7" t="s">
        <v>29</v>
      </c>
      <c r="B9" s="68">
        <v>449955.0</v>
      </c>
      <c r="C9" s="32">
        <f t="shared" si="1"/>
        <v>153040</v>
      </c>
      <c r="D9" s="33">
        <f t="shared" si="2"/>
        <v>296915</v>
      </c>
      <c r="E9" s="34">
        <f t="shared" si="3"/>
        <v>65.98770988</v>
      </c>
      <c r="F9" s="35">
        <f t="shared" si="4"/>
        <v>831.6946779</v>
      </c>
      <c r="G9" s="68"/>
      <c r="H9" s="68">
        <v>394.0</v>
      </c>
      <c r="I9" s="68">
        <v>388.0</v>
      </c>
      <c r="J9" s="36">
        <f>320*K9</f>
        <v>114240</v>
      </c>
      <c r="K9" s="68">
        <v>357.0</v>
      </c>
      <c r="L9" s="69">
        <f t="shared" si="13"/>
        <v>38800</v>
      </c>
      <c r="M9" s="68">
        <f t="shared" si="5"/>
        <v>31</v>
      </c>
      <c r="N9" s="39">
        <f t="shared" si="6"/>
        <v>7.989690722</v>
      </c>
      <c r="O9" s="70">
        <f t="shared" si="7"/>
        <v>98.47715736</v>
      </c>
      <c r="P9" s="40">
        <f t="shared" si="8"/>
        <v>92.01030928</v>
      </c>
      <c r="Q9" s="35">
        <f t="shared" si="9"/>
        <v>0</v>
      </c>
      <c r="R9" s="35">
        <f t="shared" si="10"/>
        <v>0</v>
      </c>
      <c r="S9" s="35">
        <f t="shared" si="11"/>
        <v>0</v>
      </c>
      <c r="T9" s="35">
        <f t="shared" si="12"/>
        <v>1.52284264</v>
      </c>
    </row>
    <row r="10" ht="15.75" customHeight="1">
      <c r="A10" s="7" t="s">
        <v>30</v>
      </c>
      <c r="B10" s="68">
        <v>268857.0</v>
      </c>
      <c r="C10" s="94">
        <f t="shared" si="1"/>
        <v>107860</v>
      </c>
      <c r="D10" s="95">
        <f t="shared" si="2"/>
        <v>160997</v>
      </c>
      <c r="E10" s="34">
        <f t="shared" si="3"/>
        <v>59.88201907</v>
      </c>
      <c r="F10" s="35">
        <f t="shared" si="4"/>
        <v>856.3670213</v>
      </c>
      <c r="G10" s="96"/>
      <c r="H10" s="68">
        <v>205.0</v>
      </c>
      <c r="I10" s="68">
        <v>195.0</v>
      </c>
      <c r="J10" s="36">
        <f>470*K10</f>
        <v>88360</v>
      </c>
      <c r="K10" s="68">
        <v>188.0</v>
      </c>
      <c r="L10" s="69">
        <f t="shared" si="13"/>
        <v>19500</v>
      </c>
      <c r="M10" s="68">
        <f t="shared" si="5"/>
        <v>7</v>
      </c>
      <c r="N10" s="39">
        <f t="shared" si="6"/>
        <v>3.58974359</v>
      </c>
      <c r="O10" s="70">
        <f t="shared" si="7"/>
        <v>95.12195122</v>
      </c>
      <c r="P10" s="40">
        <f t="shared" si="8"/>
        <v>96.41025641</v>
      </c>
      <c r="Q10" s="35">
        <f t="shared" si="9"/>
        <v>0</v>
      </c>
      <c r="R10" s="35">
        <f t="shared" si="10"/>
        <v>0</v>
      </c>
      <c r="S10" s="35">
        <f t="shared" si="11"/>
        <v>0</v>
      </c>
      <c r="T10" s="35">
        <f t="shared" si="12"/>
        <v>4.87804878</v>
      </c>
    </row>
    <row r="11" ht="15.75" customHeight="1">
      <c r="A11" s="7" t="s">
        <v>78</v>
      </c>
      <c r="B11" s="68">
        <v>13693.0</v>
      </c>
      <c r="C11" s="94">
        <f t="shared" si="1"/>
        <v>6050</v>
      </c>
      <c r="D11" s="95">
        <f t="shared" si="2"/>
        <v>7643</v>
      </c>
      <c r="E11" s="34">
        <f t="shared" si="3"/>
        <v>55.81684072</v>
      </c>
      <c r="F11" s="35">
        <f t="shared" si="4"/>
        <v>1091.857143</v>
      </c>
      <c r="G11" s="96"/>
      <c r="H11" s="68">
        <v>8.0</v>
      </c>
      <c r="I11" s="68">
        <v>8.0</v>
      </c>
      <c r="J11" s="36">
        <f>K11*750</f>
        <v>5250</v>
      </c>
      <c r="K11" s="68">
        <v>7.0</v>
      </c>
      <c r="L11" s="69">
        <f t="shared" si="13"/>
        <v>800</v>
      </c>
      <c r="M11" s="68">
        <f t="shared" si="5"/>
        <v>1</v>
      </c>
      <c r="N11" s="39">
        <f t="shared" si="6"/>
        <v>12.5</v>
      </c>
      <c r="O11" s="70">
        <f t="shared" si="7"/>
        <v>100</v>
      </c>
      <c r="P11" s="40">
        <f t="shared" si="8"/>
        <v>87.5</v>
      </c>
      <c r="Q11" s="35">
        <f t="shared" si="9"/>
        <v>0</v>
      </c>
      <c r="R11" s="35">
        <f t="shared" si="10"/>
        <v>0</v>
      </c>
      <c r="S11" s="35">
        <f t="shared" si="11"/>
        <v>0</v>
      </c>
      <c r="T11" s="35">
        <f t="shared" si="12"/>
        <v>0</v>
      </c>
    </row>
    <row r="12" ht="15.75" customHeight="1">
      <c r="A12" s="7" t="s">
        <v>76</v>
      </c>
      <c r="B12" s="68">
        <v>117798.0</v>
      </c>
      <c r="C12" s="94">
        <f t="shared" si="1"/>
        <v>62100</v>
      </c>
      <c r="D12" s="95">
        <f t="shared" si="2"/>
        <v>55698</v>
      </c>
      <c r="E12" s="34">
        <f t="shared" si="3"/>
        <v>47.28263638</v>
      </c>
      <c r="F12" s="35">
        <f t="shared" si="4"/>
        <v>546.0588235</v>
      </c>
      <c r="G12" s="96"/>
      <c r="H12" s="68">
        <v>116.0</v>
      </c>
      <c r="I12" s="68">
        <v>111.0</v>
      </c>
      <c r="J12" s="36">
        <f>500*K12</f>
        <v>51000</v>
      </c>
      <c r="K12" s="68">
        <v>102.0</v>
      </c>
      <c r="L12" s="69">
        <f t="shared" si="13"/>
        <v>11100</v>
      </c>
      <c r="M12" s="68">
        <f t="shared" si="5"/>
        <v>9</v>
      </c>
      <c r="N12" s="39">
        <f t="shared" si="6"/>
        <v>8.108108108</v>
      </c>
      <c r="O12" s="70">
        <f t="shared" si="7"/>
        <v>95.68965517</v>
      </c>
      <c r="P12" s="40">
        <f t="shared" si="8"/>
        <v>91.89189189</v>
      </c>
      <c r="Q12" s="35">
        <f t="shared" si="9"/>
        <v>0</v>
      </c>
      <c r="R12" s="35">
        <f t="shared" si="10"/>
        <v>0</v>
      </c>
      <c r="S12" s="35">
        <f t="shared" si="11"/>
        <v>0</v>
      </c>
      <c r="T12" s="35">
        <f t="shared" si="12"/>
        <v>4.310344828</v>
      </c>
    </row>
    <row r="13" ht="15.75" customHeight="1">
      <c r="A13" s="7" t="s">
        <v>79</v>
      </c>
      <c r="B13" s="68">
        <v>35581.0</v>
      </c>
      <c r="C13" s="94">
        <f t="shared" si="1"/>
        <v>15400</v>
      </c>
      <c r="D13" s="95">
        <f t="shared" si="2"/>
        <v>20181</v>
      </c>
      <c r="E13" s="34">
        <f t="shared" si="3"/>
        <v>56.71847334</v>
      </c>
      <c r="F13" s="35">
        <f t="shared" si="4"/>
        <v>1062.157895</v>
      </c>
      <c r="G13" s="96"/>
      <c r="H13" s="68">
        <v>23.0</v>
      </c>
      <c r="I13" s="68">
        <v>21.0</v>
      </c>
      <c r="J13" s="36">
        <f>K13*700</f>
        <v>13300</v>
      </c>
      <c r="K13" s="68">
        <v>19.0</v>
      </c>
      <c r="L13" s="69">
        <f t="shared" si="13"/>
        <v>2100</v>
      </c>
      <c r="M13" s="68">
        <f t="shared" si="5"/>
        <v>2</v>
      </c>
      <c r="N13" s="39">
        <f t="shared" si="6"/>
        <v>9.523809524</v>
      </c>
      <c r="O13" s="70">
        <f t="shared" si="7"/>
        <v>91.30434783</v>
      </c>
      <c r="P13" s="40">
        <f t="shared" si="8"/>
        <v>90.47619048</v>
      </c>
      <c r="Q13" s="35">
        <f t="shared" si="9"/>
        <v>0</v>
      </c>
      <c r="R13" s="35">
        <f t="shared" si="10"/>
        <v>0</v>
      </c>
      <c r="S13" s="35">
        <f t="shared" si="11"/>
        <v>0</v>
      </c>
      <c r="T13" s="35">
        <f t="shared" si="12"/>
        <v>8.695652174</v>
      </c>
    </row>
    <row r="14" ht="15.75" customHeight="1">
      <c r="A14" s="7" t="s">
        <v>80</v>
      </c>
      <c r="B14" s="68">
        <v>25281.0</v>
      </c>
      <c r="C14" s="94">
        <f t="shared" si="1"/>
        <v>11210</v>
      </c>
      <c r="D14" s="95">
        <f t="shared" si="2"/>
        <v>14071</v>
      </c>
      <c r="E14" s="34">
        <f t="shared" si="3"/>
        <v>55.65839959</v>
      </c>
      <c r="F14" s="35">
        <f t="shared" si="4"/>
        <v>740.5789474</v>
      </c>
      <c r="G14" s="96"/>
      <c r="H14" s="68">
        <v>19.0</v>
      </c>
      <c r="I14" s="68">
        <v>19.0</v>
      </c>
      <c r="J14" s="36">
        <f>490*K14</f>
        <v>9310</v>
      </c>
      <c r="K14" s="68">
        <v>19.0</v>
      </c>
      <c r="L14" s="69">
        <f t="shared" si="13"/>
        <v>1900</v>
      </c>
      <c r="M14" s="68">
        <f t="shared" si="5"/>
        <v>0</v>
      </c>
      <c r="N14" s="39">
        <f t="shared" si="6"/>
        <v>0</v>
      </c>
      <c r="O14" s="70">
        <f t="shared" si="7"/>
        <v>100</v>
      </c>
      <c r="P14" s="40">
        <f t="shared" si="8"/>
        <v>100</v>
      </c>
      <c r="Q14" s="35">
        <f t="shared" si="9"/>
        <v>0</v>
      </c>
      <c r="R14" s="35">
        <f t="shared" si="10"/>
        <v>0</v>
      </c>
      <c r="S14" s="35">
        <f t="shared" si="11"/>
        <v>0</v>
      </c>
      <c r="T14" s="35">
        <f t="shared" si="12"/>
        <v>0</v>
      </c>
    </row>
    <row r="15" ht="15.75" customHeight="1">
      <c r="A15" s="7" t="s">
        <v>81</v>
      </c>
      <c r="B15" s="68">
        <v>13291.0</v>
      </c>
      <c r="C15" s="94">
        <f t="shared" si="1"/>
        <v>6400</v>
      </c>
      <c r="D15" s="95">
        <f t="shared" si="2"/>
        <v>6891</v>
      </c>
      <c r="E15" s="34">
        <f t="shared" si="3"/>
        <v>51.84711459</v>
      </c>
      <c r="F15" s="35">
        <f t="shared" si="4"/>
        <v>765.6666667</v>
      </c>
      <c r="G15" s="96"/>
      <c r="H15" s="68">
        <v>10.0</v>
      </c>
      <c r="I15" s="68">
        <v>10.0</v>
      </c>
      <c r="J15" s="36">
        <f>K15*600</f>
        <v>5400</v>
      </c>
      <c r="K15" s="68">
        <v>9.0</v>
      </c>
      <c r="L15" s="69">
        <f t="shared" si="13"/>
        <v>1000</v>
      </c>
      <c r="M15" s="68">
        <f t="shared" si="5"/>
        <v>1</v>
      </c>
      <c r="N15" s="39">
        <f t="shared" si="6"/>
        <v>10</v>
      </c>
      <c r="O15" s="70">
        <f t="shared" si="7"/>
        <v>100</v>
      </c>
      <c r="P15" s="40">
        <f t="shared" si="8"/>
        <v>90</v>
      </c>
      <c r="Q15" s="35">
        <f t="shared" si="9"/>
        <v>0</v>
      </c>
      <c r="R15" s="35">
        <f t="shared" si="10"/>
        <v>0</v>
      </c>
      <c r="S15" s="35">
        <f t="shared" si="11"/>
        <v>0</v>
      </c>
      <c r="T15" s="35">
        <f t="shared" si="12"/>
        <v>0</v>
      </c>
    </row>
    <row r="16" ht="15.75" customHeight="1">
      <c r="A16" s="7" t="s">
        <v>82</v>
      </c>
      <c r="B16" s="68">
        <v>81704.0</v>
      </c>
      <c r="C16" s="94">
        <f t="shared" si="1"/>
        <v>36000</v>
      </c>
      <c r="D16" s="95">
        <f t="shared" si="2"/>
        <v>45704</v>
      </c>
      <c r="E16" s="34">
        <f t="shared" si="3"/>
        <v>55.93850974</v>
      </c>
      <c r="F16" s="35">
        <f t="shared" si="4"/>
        <v>1015.644444</v>
      </c>
      <c r="G16" s="96"/>
      <c r="H16" s="68">
        <v>45.0</v>
      </c>
      <c r="I16" s="68">
        <v>45.0</v>
      </c>
      <c r="J16" s="36">
        <f>K16*700</f>
        <v>31500</v>
      </c>
      <c r="K16" s="68">
        <v>45.0</v>
      </c>
      <c r="L16" s="69">
        <f t="shared" si="13"/>
        <v>4500</v>
      </c>
      <c r="M16" s="68">
        <f t="shared" si="5"/>
        <v>0</v>
      </c>
      <c r="N16" s="39">
        <f t="shared" si="6"/>
        <v>0</v>
      </c>
      <c r="O16" s="70">
        <f t="shared" si="7"/>
        <v>100</v>
      </c>
      <c r="P16" s="40">
        <f t="shared" si="8"/>
        <v>100</v>
      </c>
      <c r="Q16" s="35">
        <f t="shared" si="9"/>
        <v>0</v>
      </c>
      <c r="R16" s="35">
        <f t="shared" si="10"/>
        <v>0</v>
      </c>
      <c r="S16" s="35">
        <f t="shared" si="11"/>
        <v>0</v>
      </c>
      <c r="T16" s="35">
        <f t="shared" si="12"/>
        <v>0</v>
      </c>
    </row>
    <row r="17" ht="15.75" customHeight="1">
      <c r="A17" s="7" t="s">
        <v>83</v>
      </c>
      <c r="B17" s="68">
        <v>31308.0</v>
      </c>
      <c r="C17" s="94">
        <f t="shared" si="1"/>
        <v>13200</v>
      </c>
      <c r="D17" s="95">
        <f t="shared" si="2"/>
        <v>18108</v>
      </c>
      <c r="E17" s="34">
        <f t="shared" si="3"/>
        <v>57.8382522</v>
      </c>
      <c r="F17" s="35">
        <f t="shared" si="4"/>
        <v>905.4</v>
      </c>
      <c r="G17" s="96"/>
      <c r="H17" s="68">
        <v>23.0</v>
      </c>
      <c r="I17" s="68">
        <v>22.0</v>
      </c>
      <c r="J17" s="36">
        <f>K17*550</f>
        <v>11000</v>
      </c>
      <c r="K17" s="68">
        <v>20.0</v>
      </c>
      <c r="L17" s="69">
        <f t="shared" si="13"/>
        <v>2200</v>
      </c>
      <c r="M17" s="68">
        <f t="shared" si="5"/>
        <v>2</v>
      </c>
      <c r="N17" s="39">
        <f t="shared" si="6"/>
        <v>9.090909091</v>
      </c>
      <c r="O17" s="70">
        <f t="shared" si="7"/>
        <v>95.65217391</v>
      </c>
      <c r="P17" s="40">
        <f t="shared" si="8"/>
        <v>90.90909091</v>
      </c>
      <c r="Q17" s="35">
        <f t="shared" si="9"/>
        <v>0</v>
      </c>
      <c r="R17" s="35">
        <f t="shared" si="10"/>
        <v>0</v>
      </c>
      <c r="S17" s="35">
        <f t="shared" si="11"/>
        <v>0</v>
      </c>
      <c r="T17" s="35">
        <f t="shared" si="12"/>
        <v>4.347826087</v>
      </c>
    </row>
    <row r="18" ht="15.75" customHeight="1">
      <c r="A18" s="7"/>
      <c r="B18" s="68"/>
      <c r="C18" s="32"/>
      <c r="D18" s="33"/>
      <c r="E18" s="34"/>
      <c r="F18" s="35"/>
      <c r="G18" s="96"/>
      <c r="H18" s="68"/>
      <c r="I18" s="68"/>
      <c r="J18" s="36"/>
      <c r="K18" s="68"/>
      <c r="L18" s="69"/>
      <c r="M18" s="68"/>
      <c r="N18" s="39"/>
      <c r="O18" s="70"/>
      <c r="P18" s="40"/>
      <c r="Q18" s="35"/>
      <c r="R18" s="35"/>
      <c r="S18" s="35"/>
      <c r="T18" s="35"/>
    </row>
    <row r="19" ht="15.75" customHeight="1">
      <c r="A19" s="98" t="s">
        <v>62</v>
      </c>
      <c r="B19" s="98">
        <f t="shared" ref="B19:F19" si="14">SUM(B4:B17)</f>
        <v>2539426</v>
      </c>
      <c r="C19" s="98">
        <f t="shared" si="14"/>
        <v>977460</v>
      </c>
      <c r="D19" s="98">
        <f t="shared" si="14"/>
        <v>1561966</v>
      </c>
      <c r="E19" s="99">
        <f t="shared" si="14"/>
        <v>798.5715701</v>
      </c>
      <c r="F19" s="99">
        <f t="shared" si="14"/>
        <v>11463.57173</v>
      </c>
      <c r="G19" s="98">
        <f>1133003*1.18</f>
        <v>1336943.54</v>
      </c>
      <c r="H19" s="98">
        <f t="shared" ref="H19:M19" si="15">SUM(H4:H17)</f>
        <v>2313</v>
      </c>
      <c r="I19" s="98">
        <f t="shared" si="15"/>
        <v>2246</v>
      </c>
      <c r="J19" s="98">
        <f t="shared" si="15"/>
        <v>751920</v>
      </c>
      <c r="K19" s="98">
        <f t="shared" si="15"/>
        <v>2082</v>
      </c>
      <c r="L19" s="98">
        <f t="shared" si="15"/>
        <v>225540</v>
      </c>
      <c r="M19" s="98">
        <f t="shared" si="15"/>
        <v>164</v>
      </c>
      <c r="N19" s="99">
        <f t="shared" ref="N19:P19" si="16">AVERAGE(N4:N17)</f>
        <v>6.961762679</v>
      </c>
      <c r="O19" s="99">
        <f t="shared" si="16"/>
        <v>97.53518756</v>
      </c>
      <c r="P19" s="99">
        <f t="shared" si="16"/>
        <v>93.03823732</v>
      </c>
      <c r="Q19" s="98"/>
      <c r="R19" s="98"/>
      <c r="S19" s="98"/>
      <c r="T19" s="99">
        <f>AVERAGE(T4:T17)</f>
        <v>2.46481244</v>
      </c>
    </row>
    <row r="20" ht="15.75" customHeight="1"/>
    <row r="21" ht="15.75" customHeight="1"/>
    <row r="22" ht="15.75" customHeight="1">
      <c r="A22" s="101" t="s">
        <v>1</v>
      </c>
      <c r="D22" s="101" t="s">
        <v>63</v>
      </c>
    </row>
    <row r="23" ht="15.75" customHeight="1">
      <c r="A23" s="102" t="s">
        <v>32</v>
      </c>
      <c r="B23" s="103">
        <f>B19</f>
        <v>2539426</v>
      </c>
      <c r="D23" s="104" t="s">
        <v>50</v>
      </c>
      <c r="E23" s="105">
        <f>B24/K19</f>
        <v>361.1527378</v>
      </c>
      <c r="F23" s="63"/>
      <c r="G23" s="63"/>
      <c r="H23" s="142"/>
      <c r="I23" s="63"/>
    </row>
    <row r="24" ht="15.75" customHeight="1">
      <c r="A24" s="102" t="s">
        <v>50</v>
      </c>
      <c r="B24" s="103">
        <f>J19</f>
        <v>751920</v>
      </c>
      <c r="D24" s="104" t="s">
        <v>35</v>
      </c>
      <c r="E24" s="105">
        <f>B26/K19</f>
        <v>642.1438713</v>
      </c>
      <c r="F24" s="63"/>
      <c r="G24" s="143"/>
      <c r="H24" s="144"/>
      <c r="I24" s="63"/>
    </row>
    <row r="25" ht="15.75" customHeight="1">
      <c r="A25" s="102" t="s">
        <v>51</v>
      </c>
      <c r="B25" s="103">
        <f>L19</f>
        <v>225540</v>
      </c>
      <c r="D25" s="104" t="s">
        <v>51</v>
      </c>
      <c r="E25" s="105">
        <v>100.0</v>
      </c>
      <c r="F25" s="63"/>
      <c r="G25" s="143"/>
      <c r="H25" s="144"/>
      <c r="I25" s="63"/>
    </row>
    <row r="26" ht="15.75" customHeight="1">
      <c r="A26" s="102" t="s">
        <v>52</v>
      </c>
      <c r="B26" s="106">
        <f>G19</f>
        <v>1336943.54</v>
      </c>
      <c r="D26" s="145" t="s">
        <v>33</v>
      </c>
      <c r="E26" s="146">
        <v>1219.7050912584054</v>
      </c>
      <c r="F26" s="63"/>
      <c r="G26" s="143"/>
      <c r="H26" s="147"/>
      <c r="I26" s="63"/>
    </row>
    <row r="27" ht="15.75" customHeight="1">
      <c r="A27" s="102" t="s">
        <v>64</v>
      </c>
      <c r="B27" s="106">
        <f>B23-(B24+B25+B26)</f>
        <v>225022.46</v>
      </c>
      <c r="F27" s="63"/>
      <c r="G27" s="63"/>
      <c r="H27" s="63"/>
      <c r="I27" s="63"/>
    </row>
    <row r="28" ht="15.75" customHeight="1">
      <c r="A28" s="102" t="s">
        <v>38</v>
      </c>
      <c r="B28" s="106">
        <f>B27/B23*100</f>
        <v>8.86115445</v>
      </c>
    </row>
    <row r="29" ht="15.75" customHeight="1"/>
    <row r="30" ht="15.75" customHeight="1"/>
    <row r="31" ht="15.75" customHeight="1">
      <c r="A31" s="92" t="s">
        <v>77</v>
      </c>
      <c r="B31" s="93" t="s">
        <v>39</v>
      </c>
    </row>
    <row r="32" ht="15.75" customHeight="1"/>
    <row r="33" ht="15.75" customHeight="1">
      <c r="A33" s="54" t="s">
        <v>45</v>
      </c>
      <c r="B33" s="108" t="s">
        <v>3</v>
      </c>
      <c r="C33" s="108" t="s">
        <v>4</v>
      </c>
      <c r="D33" s="108" t="s">
        <v>5</v>
      </c>
      <c r="E33" s="109" t="s">
        <v>6</v>
      </c>
      <c r="F33" s="108" t="s">
        <v>7</v>
      </c>
      <c r="G33" s="108" t="s">
        <v>9</v>
      </c>
      <c r="H33" s="108" t="s">
        <v>11</v>
      </c>
      <c r="I33" s="108" t="s">
        <v>12</v>
      </c>
      <c r="J33" s="108" t="s">
        <v>42</v>
      </c>
      <c r="K33" s="108" t="s">
        <v>43</v>
      </c>
      <c r="L33" s="109" t="s">
        <v>15</v>
      </c>
      <c r="M33" s="98" t="s">
        <v>53</v>
      </c>
      <c r="P33" s="22">
        <v>1076239.03</v>
      </c>
      <c r="Q33" s="21">
        <v>252057.0</v>
      </c>
      <c r="R33" s="22">
        <f t="shared" ref="R33:R39" si="17">P33-Q33</f>
        <v>824182.03</v>
      </c>
    </row>
    <row r="34" ht="15.75" customHeight="1">
      <c r="A34" s="110" t="s">
        <v>24</v>
      </c>
      <c r="B34" s="111">
        <f>85492.32+461889.49+25867.95+7394.32</f>
        <v>580644.08</v>
      </c>
      <c r="C34" s="112">
        <f t="shared" ref="C34:C40" si="18">K34+H34</f>
        <v>349215.07</v>
      </c>
      <c r="D34" s="113">
        <f t="shared" ref="D34:D40" si="19">B34-C34</f>
        <v>231429.01</v>
      </c>
      <c r="E34" s="34">
        <f t="shared" ref="E34:E35" si="20">D34/B34*100</f>
        <v>39.85729261</v>
      </c>
      <c r="F34" s="114">
        <f t="shared" ref="F34:F35" si="21">D34/I34</f>
        <v>423.8626557</v>
      </c>
      <c r="G34" s="115">
        <f>481+75+4</f>
        <v>560</v>
      </c>
      <c r="H34" s="36">
        <f>270*I34</f>
        <v>147420</v>
      </c>
      <c r="I34" s="116">
        <f>67+437+30+12</f>
        <v>546</v>
      </c>
      <c r="J34" s="36">
        <f t="shared" ref="J34:J35" si="22">G34-I34</f>
        <v>14</v>
      </c>
      <c r="K34" s="117">
        <f>166950.62+24672.4 +5568.77+4603.28</f>
        <v>201795.07</v>
      </c>
      <c r="L34" s="118">
        <f t="shared" ref="L34:L35" si="23">J34/G34*100</f>
        <v>2.5</v>
      </c>
      <c r="M34" s="119">
        <f>8883.8+76769.64+1430.3+3687.44</f>
        <v>90771.18</v>
      </c>
      <c r="P34" s="22">
        <v>312552.14</v>
      </c>
      <c r="Q34" s="21">
        <v>7405.0</v>
      </c>
      <c r="R34" s="22">
        <f t="shared" si="17"/>
        <v>305147.14</v>
      </c>
    </row>
    <row r="35" ht="15.75" customHeight="1">
      <c r="A35" s="110" t="s">
        <v>25</v>
      </c>
      <c r="B35" s="111">
        <f>243969.35+352282.54</f>
        <v>596251.89</v>
      </c>
      <c r="C35" s="112">
        <f t="shared" si="18"/>
        <v>300906.34</v>
      </c>
      <c r="D35" s="113">
        <f t="shared" si="19"/>
        <v>295345.55</v>
      </c>
      <c r="E35" s="34">
        <f t="shared" si="20"/>
        <v>49.53368785</v>
      </c>
      <c r="F35" s="114">
        <f t="shared" si="21"/>
        <v>590.6911</v>
      </c>
      <c r="G35" s="115">
        <f>307+248</f>
        <v>555</v>
      </c>
      <c r="H35" s="36">
        <f>350*I35</f>
        <v>175000</v>
      </c>
      <c r="I35" s="116">
        <f>291+209</f>
        <v>500</v>
      </c>
      <c r="J35" s="36">
        <f t="shared" si="22"/>
        <v>55</v>
      </c>
      <c r="K35" s="117">
        <f>60951.36+64954.98 </f>
        <v>125906.34</v>
      </c>
      <c r="L35" s="118">
        <f t="shared" si="23"/>
        <v>9.90990991</v>
      </c>
      <c r="M35" s="119">
        <f>17373.07</f>
        <v>17373.07</v>
      </c>
      <c r="P35" s="22">
        <v>84049.91</v>
      </c>
      <c r="Q35" s="21">
        <v>4163.0</v>
      </c>
      <c r="R35" s="22">
        <f t="shared" si="17"/>
        <v>79886.91</v>
      </c>
    </row>
    <row r="36" ht="15.75" customHeight="1">
      <c r="A36" s="110" t="s">
        <v>26</v>
      </c>
      <c r="B36" s="111">
        <v>0.0</v>
      </c>
      <c r="C36" s="112">
        <f t="shared" si="18"/>
        <v>0</v>
      </c>
      <c r="D36" s="113">
        <f t="shared" si="19"/>
        <v>0</v>
      </c>
      <c r="E36" s="34" t="s">
        <v>65</v>
      </c>
      <c r="F36" s="114" t="s">
        <v>65</v>
      </c>
      <c r="G36" s="115">
        <v>0.0</v>
      </c>
      <c r="H36" s="36">
        <f> 980*I36</f>
        <v>0</v>
      </c>
      <c r="I36" s="116">
        <v>0.0</v>
      </c>
      <c r="J36" s="36">
        <v>0.0</v>
      </c>
      <c r="K36" s="117">
        <v>0.0</v>
      </c>
      <c r="L36" s="118">
        <v>0.0</v>
      </c>
      <c r="M36" s="119">
        <v>0.0</v>
      </c>
      <c r="P36" s="22">
        <v>960893.46</v>
      </c>
      <c r="Q36" s="21">
        <v>284095.0</v>
      </c>
      <c r="R36" s="22">
        <f t="shared" si="17"/>
        <v>676798.46</v>
      </c>
    </row>
    <row r="37" ht="15.75" customHeight="1">
      <c r="A37" s="110" t="s">
        <v>27</v>
      </c>
      <c r="B37" s="111">
        <f>11500.56+228829.54+2204.04+2792.64</f>
        <v>245326.78</v>
      </c>
      <c r="C37" s="112">
        <f t="shared" si="18"/>
        <v>185792.37</v>
      </c>
      <c r="D37" s="113">
        <f t="shared" si="19"/>
        <v>59534.41</v>
      </c>
      <c r="E37" s="34">
        <f t="shared" ref="E37:E40" si="24">D37/B37*100</f>
        <v>24.26739144</v>
      </c>
      <c r="F37" s="114">
        <f t="shared" ref="F37:F40" si="25">D37/I37</f>
        <v>138.7748485</v>
      </c>
      <c r="G37" s="115">
        <f>473+19+4</f>
        <v>496</v>
      </c>
      <c r="H37" s="36">
        <f>220*I37</f>
        <v>94380</v>
      </c>
      <c r="I37" s="116">
        <f>406+19+4</f>
        <v>429</v>
      </c>
      <c r="J37" s="36">
        <f t="shared" ref="J37:J40" si="26">G37-I37</f>
        <v>67</v>
      </c>
      <c r="K37" s="117">
        <f>83445.44 +4948.99
+3017.94 
</f>
        <v>91412.37</v>
      </c>
      <c r="L37" s="118">
        <f t="shared" ref="L37:L40" si="27">J37/G37*100</f>
        <v>13.50806452</v>
      </c>
      <c r="M37" s="119">
        <f>33042.16+3332.75+2335.44</f>
        <v>38710.35</v>
      </c>
      <c r="P37" s="22">
        <v>1343322.48</v>
      </c>
      <c r="Q37" s="21">
        <v>466885.0</v>
      </c>
      <c r="R37" s="22">
        <f t="shared" si="17"/>
        <v>876437.48</v>
      </c>
    </row>
    <row r="38" ht="15.75" customHeight="1">
      <c r="A38" s="110" t="s">
        <v>28</v>
      </c>
      <c r="B38" s="111">
        <f>8997.47+110307.98</f>
        <v>119305.45</v>
      </c>
      <c r="C38" s="112">
        <f t="shared" si="18"/>
        <v>70042.16</v>
      </c>
      <c r="D38" s="113">
        <f t="shared" si="19"/>
        <v>49263.29</v>
      </c>
      <c r="E38" s="34">
        <f t="shared" si="24"/>
        <v>41.29173479</v>
      </c>
      <c r="F38" s="114">
        <f t="shared" si="25"/>
        <v>421.0537607</v>
      </c>
      <c r="G38" s="115">
        <v>137.0</v>
      </c>
      <c r="H38" s="36">
        <f>270*I38</f>
        <v>31590</v>
      </c>
      <c r="I38" s="116">
        <f>109+8</f>
        <v>117</v>
      </c>
      <c r="J38" s="36">
        <f t="shared" si="26"/>
        <v>20</v>
      </c>
      <c r="K38" s="117">
        <f>2676.93+35775.23
</f>
        <v>38452.16</v>
      </c>
      <c r="L38" s="118">
        <f t="shared" si="27"/>
        <v>14.59854015</v>
      </c>
      <c r="M38" s="119">
        <f>1400.06+17843.48</f>
        <v>19243.54</v>
      </c>
      <c r="P38" s="22">
        <v>208445.6</v>
      </c>
      <c r="Q38" s="21">
        <v>9463.0</v>
      </c>
      <c r="R38" s="22">
        <f t="shared" si="17"/>
        <v>198982.6</v>
      </c>
    </row>
    <row r="39" ht="15.75" customHeight="1">
      <c r="A39" s="110" t="s">
        <v>29</v>
      </c>
      <c r="B39" s="111">
        <f>10482.28+84071.62</f>
        <v>94553.9</v>
      </c>
      <c r="C39" s="112">
        <f t="shared" si="18"/>
        <v>56160.47</v>
      </c>
      <c r="D39" s="113">
        <f t="shared" si="19"/>
        <v>38393.43</v>
      </c>
      <c r="E39" s="34">
        <f t="shared" si="24"/>
        <v>40.60480847</v>
      </c>
      <c r="F39" s="114">
        <f t="shared" si="25"/>
        <v>548.4775714</v>
      </c>
      <c r="G39" s="115">
        <f>7+68</f>
        <v>75</v>
      </c>
      <c r="H39" s="36">
        <f>320*I39</f>
        <v>22400</v>
      </c>
      <c r="I39" s="116">
        <f>63+7</f>
        <v>70</v>
      </c>
      <c r="J39" s="36">
        <f t="shared" si="26"/>
        <v>5</v>
      </c>
      <c r="K39" s="117">
        <f>3101.44+30659.03</f>
        <v>33760.47</v>
      </c>
      <c r="L39" s="118">
        <f t="shared" si="27"/>
        <v>6.666666667</v>
      </c>
      <c r="M39" s="119">
        <f>9121.34+1479.21</f>
        <v>10600.55</v>
      </c>
      <c r="P39" s="22">
        <v>548969.15</v>
      </c>
      <c r="Q39" s="21">
        <v>32003.0</v>
      </c>
      <c r="R39" s="22">
        <f t="shared" si="17"/>
        <v>516966.15</v>
      </c>
    </row>
    <row r="40" ht="15.75" customHeight="1">
      <c r="A40" s="110" t="s">
        <v>30</v>
      </c>
      <c r="B40" s="111">
        <f>37276.92+9573.26</f>
        <v>46850.18</v>
      </c>
      <c r="C40" s="112">
        <f t="shared" si="18"/>
        <v>13160</v>
      </c>
      <c r="D40" s="113">
        <f t="shared" si="19"/>
        <v>33690.18</v>
      </c>
      <c r="E40" s="34">
        <f t="shared" si="24"/>
        <v>71.91046011</v>
      </c>
      <c r="F40" s="114">
        <f t="shared" si="25"/>
        <v>1203.220714</v>
      </c>
      <c r="G40" s="115">
        <f>8+25</f>
        <v>33</v>
      </c>
      <c r="H40" s="36">
        <f>470*I40</f>
        <v>13160</v>
      </c>
      <c r="I40" s="116">
        <v>28.0</v>
      </c>
      <c r="J40" s="36">
        <f t="shared" si="26"/>
        <v>5</v>
      </c>
      <c r="K40" s="117">
        <v>0.0</v>
      </c>
      <c r="L40" s="118">
        <f t="shared" si="27"/>
        <v>15.15151515</v>
      </c>
      <c r="M40" s="119">
        <f>6402.83+3738.15</f>
        <v>10140.98</v>
      </c>
    </row>
    <row r="41" ht="15.75" customHeight="1">
      <c r="A41" s="21" t="s">
        <v>62</v>
      </c>
      <c r="B41" s="21">
        <f t="shared" ref="B41:D41" si="28">SUM(B34:B40)</f>
        <v>1682932.28</v>
      </c>
      <c r="C41" s="21">
        <f t="shared" si="28"/>
        <v>975276.41</v>
      </c>
      <c r="D41" s="81">
        <f t="shared" si="28"/>
        <v>707655.87</v>
      </c>
      <c r="H41" s="21">
        <f t="shared" ref="H41:I41" si="29">SUM(H34:H40)</f>
        <v>483950</v>
      </c>
      <c r="I41" s="21">
        <f t="shared" si="29"/>
        <v>1690</v>
      </c>
      <c r="K41" s="85">
        <f>SUM(K34:K40)-M41</f>
        <v>304486.74</v>
      </c>
      <c r="M41" s="85">
        <f>SUM(M34:M40)</f>
        <v>186839.67</v>
      </c>
      <c r="P41" s="22">
        <f>SUM(P33:P39)</f>
        <v>4534471.77</v>
      </c>
      <c r="R41" s="22">
        <f>SUM(R33:R39)</f>
        <v>3478400.77</v>
      </c>
    </row>
    <row r="42" ht="15.75" customHeight="1"/>
    <row r="43" ht="15.75" customHeight="1">
      <c r="A43" s="102" t="s">
        <v>32</v>
      </c>
      <c r="B43" s="106">
        <f>B41</f>
        <v>1682932.28</v>
      </c>
    </row>
    <row r="44" ht="15.75" customHeight="1">
      <c r="A44" s="102" t="s">
        <v>50</v>
      </c>
      <c r="B44" s="103">
        <f>H41</f>
        <v>483950</v>
      </c>
      <c r="D44" s="101" t="s">
        <v>63</v>
      </c>
    </row>
    <row r="45" ht="15.75" customHeight="1">
      <c r="A45" s="102" t="s">
        <v>54</v>
      </c>
      <c r="B45" s="106">
        <f>sum(K34:K40)</f>
        <v>491326.41</v>
      </c>
      <c r="D45" s="104" t="s">
        <v>50</v>
      </c>
      <c r="E45" s="105">
        <f>B44/I41</f>
        <v>286.3609467</v>
      </c>
    </row>
    <row r="46" ht="15.75" customHeight="1">
      <c r="A46" s="102" t="s">
        <v>52</v>
      </c>
      <c r="B46" s="106">
        <f>sum(M34:M40)</f>
        <v>186839.67</v>
      </c>
      <c r="D46" s="104" t="s">
        <v>35</v>
      </c>
      <c r="E46" s="105">
        <f>B46/I41</f>
        <v>110.5560178</v>
      </c>
    </row>
    <row r="47" ht="15.75" customHeight="1">
      <c r="A47" s="102" t="s">
        <v>36</v>
      </c>
      <c r="B47" s="106">
        <f>B43-(B44+B45+B46)</f>
        <v>520816.2</v>
      </c>
      <c r="D47" s="104" t="s">
        <v>84</v>
      </c>
      <c r="E47" s="105">
        <f>K41/I41</f>
        <v>180.1696686</v>
      </c>
    </row>
    <row r="48" ht="15.75" customHeight="1">
      <c r="A48" s="102" t="s">
        <v>38</v>
      </c>
      <c r="B48" s="120">
        <f>B47/B43*100</f>
        <v>30.94694933</v>
      </c>
      <c r="D48" s="145" t="s">
        <v>33</v>
      </c>
      <c r="E48" s="146">
        <f>B43/I41</f>
        <v>995.8179172</v>
      </c>
    </row>
    <row r="49" ht="15.75" customHeight="1"/>
    <row r="50" ht="15.75" customHeight="1"/>
    <row r="51" ht="15.75" customHeight="1">
      <c r="A51" s="92" t="s">
        <v>77</v>
      </c>
      <c r="B51" s="93" t="s">
        <v>66</v>
      </c>
    </row>
    <row r="52" ht="15.75" customHeight="1"/>
    <row r="53" ht="15.75" customHeight="1">
      <c r="A53" s="54" t="s">
        <v>45</v>
      </c>
      <c r="B53" s="108" t="s">
        <v>3</v>
      </c>
      <c r="C53" s="108" t="s">
        <v>4</v>
      </c>
      <c r="D53" s="108" t="s">
        <v>5</v>
      </c>
      <c r="E53" s="109" t="s">
        <v>6</v>
      </c>
      <c r="F53" s="108" t="s">
        <v>7</v>
      </c>
      <c r="G53" s="108" t="s">
        <v>9</v>
      </c>
      <c r="H53" s="108" t="s">
        <v>11</v>
      </c>
      <c r="I53" s="108" t="s">
        <v>12</v>
      </c>
      <c r="J53" s="108" t="s">
        <v>42</v>
      </c>
      <c r="K53" s="108" t="s">
        <v>67</v>
      </c>
      <c r="L53" s="109" t="s">
        <v>15</v>
      </c>
      <c r="M53" s="98" t="s">
        <v>53</v>
      </c>
      <c r="P53" s="22">
        <v>1076239.03</v>
      </c>
      <c r="Q53" s="21">
        <v>252057.0</v>
      </c>
      <c r="R53" s="22">
        <f t="shared" ref="R53:R59" si="30">P53-Q53</f>
        <v>824182.03</v>
      </c>
    </row>
    <row r="54" ht="15.75" customHeight="1">
      <c r="A54" s="110" t="s">
        <v>24</v>
      </c>
      <c r="B54" s="111">
        <f>12067+2082</f>
        <v>14149</v>
      </c>
      <c r="C54" s="112">
        <f t="shared" ref="C54:C60" si="31">K54+H54</f>
        <v>11442.42</v>
      </c>
      <c r="D54" s="113">
        <f t="shared" ref="D54:D60" si="32">B54-C54</f>
        <v>2706.58</v>
      </c>
      <c r="E54" s="34">
        <f t="shared" ref="E54:E55" si="33">D54/B54*100</f>
        <v>19.12912573</v>
      </c>
      <c r="F54" s="114">
        <f t="shared" ref="F54:F55" si="34">D54/I54</f>
        <v>208.1984615</v>
      </c>
      <c r="G54" s="115">
        <v>16.0</v>
      </c>
      <c r="H54" s="36">
        <f>270*I54</f>
        <v>3510</v>
      </c>
      <c r="I54" s="116">
        <v>13.0</v>
      </c>
      <c r="J54" s="36">
        <f t="shared" ref="J54:J55" si="35">G54-I54</f>
        <v>3</v>
      </c>
      <c r="K54" s="117">
        <f>3966.21+3966.21</f>
        <v>7932.42</v>
      </c>
      <c r="L54" s="118">
        <f t="shared" ref="L54:L55" si="36">J54/G54*100</f>
        <v>18.75</v>
      </c>
      <c r="M54" s="119">
        <v>0.0</v>
      </c>
      <c r="P54" s="22">
        <v>312552.14</v>
      </c>
      <c r="Q54" s="21">
        <v>7405.0</v>
      </c>
      <c r="R54" s="22">
        <f t="shared" si="30"/>
        <v>305147.14</v>
      </c>
    </row>
    <row r="55" ht="15.75" customHeight="1">
      <c r="A55" s="110" t="s">
        <v>25</v>
      </c>
      <c r="B55" s="111">
        <f>10602</f>
        <v>10602</v>
      </c>
      <c r="C55" s="112">
        <f t="shared" si="31"/>
        <v>6293.41</v>
      </c>
      <c r="D55" s="113">
        <f t="shared" si="32"/>
        <v>4308.59</v>
      </c>
      <c r="E55" s="34">
        <f t="shared" si="33"/>
        <v>40.63940766</v>
      </c>
      <c r="F55" s="114">
        <f t="shared" si="34"/>
        <v>538.57375</v>
      </c>
      <c r="G55" s="115">
        <v>13.0</v>
      </c>
      <c r="H55" s="36">
        <f>350*I55</f>
        <v>2800</v>
      </c>
      <c r="I55" s="116">
        <v>8.0</v>
      </c>
      <c r="J55" s="36">
        <f t="shared" si="35"/>
        <v>5</v>
      </c>
      <c r="K55" s="117">
        <f>3493.41</f>
        <v>3493.41</v>
      </c>
      <c r="L55" s="118">
        <f t="shared" si="36"/>
        <v>38.46153846</v>
      </c>
      <c r="M55" s="119">
        <v>0.0</v>
      </c>
      <c r="P55" s="22">
        <v>84049.91</v>
      </c>
      <c r="Q55" s="21">
        <v>4163.0</v>
      </c>
      <c r="R55" s="22">
        <f t="shared" si="30"/>
        <v>79886.91</v>
      </c>
    </row>
    <row r="56" ht="15.75" customHeight="1">
      <c r="A56" s="110" t="s">
        <v>26</v>
      </c>
      <c r="B56" s="111">
        <v>0.0</v>
      </c>
      <c r="C56" s="112">
        <f t="shared" si="31"/>
        <v>0</v>
      </c>
      <c r="D56" s="113">
        <f t="shared" si="32"/>
        <v>0</v>
      </c>
      <c r="E56" s="34" t="s">
        <v>65</v>
      </c>
      <c r="F56" s="114" t="s">
        <v>65</v>
      </c>
      <c r="G56" s="115">
        <v>0.0</v>
      </c>
      <c r="H56" s="36">
        <f> 980*I56</f>
        <v>0</v>
      </c>
      <c r="I56" s="116">
        <v>0.0</v>
      </c>
      <c r="J56" s="36">
        <v>0.0</v>
      </c>
      <c r="K56" s="117">
        <v>0.0</v>
      </c>
      <c r="L56" s="118">
        <v>0.0</v>
      </c>
      <c r="M56" s="119">
        <v>0.0</v>
      </c>
      <c r="P56" s="22">
        <v>960893.46</v>
      </c>
      <c r="Q56" s="21">
        <v>284095.0</v>
      </c>
      <c r="R56" s="22">
        <f t="shared" si="30"/>
        <v>676798.46</v>
      </c>
    </row>
    <row r="57" ht="15.75" customHeight="1">
      <c r="A57" s="110" t="s">
        <v>27</v>
      </c>
      <c r="B57" s="111">
        <f>9861</f>
        <v>9861</v>
      </c>
      <c r="C57" s="112">
        <f t="shared" si="31"/>
        <v>7804.57</v>
      </c>
      <c r="D57" s="113">
        <f t="shared" si="32"/>
        <v>2056.43</v>
      </c>
      <c r="E57" s="34">
        <f t="shared" ref="E57:E60" si="37">D57/B57*100</f>
        <v>20.854173</v>
      </c>
      <c r="F57" s="114">
        <f t="shared" ref="F57:F59" si="38">D57/I57</f>
        <v>137.0953333</v>
      </c>
      <c r="G57" s="115">
        <v>21.0</v>
      </c>
      <c r="H57" s="36">
        <f>220*I57</f>
        <v>3300</v>
      </c>
      <c r="I57" s="116">
        <v>15.0</v>
      </c>
      <c r="J57" s="36">
        <f t="shared" ref="J57:J60" si="39">G57-I57</f>
        <v>6</v>
      </c>
      <c r="K57" s="117">
        <f>4504.57</f>
        <v>4504.57</v>
      </c>
      <c r="L57" s="118">
        <f t="shared" ref="L57:L59" si="40">J57/G57*100</f>
        <v>28.57142857</v>
      </c>
      <c r="M57" s="119">
        <v>0.0</v>
      </c>
      <c r="P57" s="22">
        <v>1343322.48</v>
      </c>
      <c r="Q57" s="21">
        <v>466885.0</v>
      </c>
      <c r="R57" s="22">
        <f t="shared" si="30"/>
        <v>876437.48</v>
      </c>
    </row>
    <row r="58" ht="15.75" customHeight="1">
      <c r="A58" s="110" t="s">
        <v>28</v>
      </c>
      <c r="B58" s="111">
        <f>4522</f>
        <v>4522</v>
      </c>
      <c r="C58" s="112">
        <f t="shared" si="31"/>
        <v>3593.32</v>
      </c>
      <c r="D58" s="113">
        <f t="shared" si="32"/>
        <v>928.68</v>
      </c>
      <c r="E58" s="34">
        <f t="shared" si="37"/>
        <v>20.53693056</v>
      </c>
      <c r="F58" s="114">
        <f t="shared" si="38"/>
        <v>232.17</v>
      </c>
      <c r="G58" s="115">
        <v>10.0</v>
      </c>
      <c r="H58" s="36">
        <f>270*I58</f>
        <v>1080</v>
      </c>
      <c r="I58" s="116">
        <v>4.0</v>
      </c>
      <c r="J58" s="36">
        <f t="shared" si="39"/>
        <v>6</v>
      </c>
      <c r="K58" s="117">
        <f>2513.32</f>
        <v>2513.32</v>
      </c>
      <c r="L58" s="118">
        <f t="shared" si="40"/>
        <v>60</v>
      </c>
      <c r="M58" s="119">
        <v>0.0</v>
      </c>
      <c r="P58" s="22">
        <v>208445.6</v>
      </c>
      <c r="Q58" s="21">
        <v>9463.0</v>
      </c>
      <c r="R58" s="22">
        <f t="shared" si="30"/>
        <v>198982.6</v>
      </c>
    </row>
    <row r="59" ht="15.75" customHeight="1">
      <c r="A59" s="110" t="s">
        <v>29</v>
      </c>
      <c r="B59" s="111">
        <f>15293</f>
        <v>15293</v>
      </c>
      <c r="C59" s="112">
        <f t="shared" si="31"/>
        <v>8464.25</v>
      </c>
      <c r="D59" s="113">
        <f t="shared" si="32"/>
        <v>6828.75</v>
      </c>
      <c r="E59" s="34">
        <f t="shared" si="37"/>
        <v>44.65278232</v>
      </c>
      <c r="F59" s="114">
        <f t="shared" si="38"/>
        <v>620.7954545</v>
      </c>
      <c r="G59" s="115">
        <v>13.0</v>
      </c>
      <c r="H59" s="36">
        <f>320*I59</f>
        <v>3520</v>
      </c>
      <c r="I59" s="116">
        <v>11.0</v>
      </c>
      <c r="J59" s="36">
        <f t="shared" si="39"/>
        <v>2</v>
      </c>
      <c r="K59" s="117">
        <f>4944.25</f>
        <v>4944.25</v>
      </c>
      <c r="L59" s="118">
        <f t="shared" si="40"/>
        <v>15.38461538</v>
      </c>
      <c r="M59" s="119">
        <v>0.0</v>
      </c>
      <c r="P59" s="22">
        <v>548969.15</v>
      </c>
      <c r="Q59" s="21">
        <v>32003.0</v>
      </c>
      <c r="R59" s="22">
        <f t="shared" si="30"/>
        <v>516966.15</v>
      </c>
    </row>
    <row r="60" ht="15.75" customHeight="1">
      <c r="A60" s="110" t="s">
        <v>30</v>
      </c>
      <c r="B60" s="111">
        <f>1599</f>
        <v>1599</v>
      </c>
      <c r="C60" s="112">
        <f t="shared" si="31"/>
        <v>1101.37</v>
      </c>
      <c r="D60" s="113">
        <f t="shared" si="32"/>
        <v>497.63</v>
      </c>
      <c r="E60" s="34">
        <f t="shared" si="37"/>
        <v>31.12132583</v>
      </c>
      <c r="F60" s="114"/>
      <c r="G60" s="115">
        <v>2.0</v>
      </c>
      <c r="H60" s="36">
        <f>470*I60</f>
        <v>470</v>
      </c>
      <c r="I60" s="116">
        <v>1.0</v>
      </c>
      <c r="J60" s="36">
        <f t="shared" si="39"/>
        <v>1</v>
      </c>
      <c r="K60" s="117">
        <f>631.37</f>
        <v>631.37</v>
      </c>
      <c r="L60" s="118"/>
      <c r="M60" s="119">
        <v>0.0</v>
      </c>
    </row>
    <row r="61" ht="15.75" customHeight="1">
      <c r="A61" s="21" t="s">
        <v>62</v>
      </c>
      <c r="B61" s="21">
        <f>SUM(B54:B60)</f>
        <v>56026</v>
      </c>
      <c r="H61" s="21">
        <f t="shared" ref="H61:I61" si="41">SUM(H54:H60)</f>
        <v>14680</v>
      </c>
      <c r="I61" s="21">
        <f t="shared" si="41"/>
        <v>52</v>
      </c>
      <c r="K61" s="21">
        <f>SUM(K54:K60)</f>
        <v>24019.34</v>
      </c>
    </row>
    <row r="62" ht="15.75" customHeight="1">
      <c r="A62" s="21"/>
    </row>
    <row r="63" ht="15.75" customHeight="1">
      <c r="A63" s="21"/>
    </row>
    <row r="64" ht="15.75" customHeight="1">
      <c r="A64" s="92" t="s">
        <v>77</v>
      </c>
      <c r="B64" s="93" t="s">
        <v>85</v>
      </c>
    </row>
    <row r="65" ht="15.75" customHeight="1"/>
    <row r="66" ht="15.75" customHeight="1">
      <c r="A66" s="54" t="s">
        <v>45</v>
      </c>
      <c r="B66" s="108" t="s">
        <v>3</v>
      </c>
      <c r="C66" s="108" t="s">
        <v>4</v>
      </c>
      <c r="D66" s="108" t="s">
        <v>5</v>
      </c>
      <c r="E66" s="109" t="s">
        <v>6</v>
      </c>
      <c r="F66" s="108" t="s">
        <v>7</v>
      </c>
      <c r="G66" s="108" t="s">
        <v>9</v>
      </c>
      <c r="H66" s="108" t="s">
        <v>11</v>
      </c>
      <c r="I66" s="108" t="s">
        <v>12</v>
      </c>
      <c r="J66" s="108" t="s">
        <v>42</v>
      </c>
      <c r="K66" s="108" t="s">
        <v>86</v>
      </c>
      <c r="L66" s="109" t="s">
        <v>15</v>
      </c>
      <c r="M66" s="98" t="s">
        <v>53</v>
      </c>
      <c r="P66" s="22">
        <v>1076239.03</v>
      </c>
      <c r="Q66" s="21">
        <v>252057.0</v>
      </c>
      <c r="R66" s="22">
        <f t="shared" ref="R66:R72" si="42">P66-Q66</f>
        <v>824182.03</v>
      </c>
    </row>
    <row r="67" ht="15.75" customHeight="1">
      <c r="A67" s="110" t="s">
        <v>24</v>
      </c>
      <c r="B67" s="111">
        <f>14908+33349</f>
        <v>48257</v>
      </c>
      <c r="C67" s="112">
        <f t="shared" ref="C67:C73" si="43">K67+H67</f>
        <v>18090</v>
      </c>
      <c r="D67" s="113">
        <f t="shared" ref="D67:D73" si="44">B67-C67</f>
        <v>30167</v>
      </c>
      <c r="E67" s="34">
        <f t="shared" ref="E67:E68" si="45">D67/B67*100</f>
        <v>62.51321052</v>
      </c>
      <c r="F67" s="114">
        <f t="shared" ref="F67:F68" si="46">D67/I67</f>
        <v>450.2537313</v>
      </c>
      <c r="G67" s="115">
        <f>46+21+7+2+11</f>
        <v>87</v>
      </c>
      <c r="H67" s="36">
        <f>270*I67</f>
        <v>18090</v>
      </c>
      <c r="I67" s="116">
        <f>46+21</f>
        <v>67</v>
      </c>
      <c r="J67" s="36">
        <f t="shared" ref="J67:J68" si="47">G67-I67</f>
        <v>20</v>
      </c>
      <c r="K67" s="117">
        <v>0.0</v>
      </c>
      <c r="L67" s="118">
        <f t="shared" ref="L67:L68" si="48">J67/G67*100</f>
        <v>22.98850575</v>
      </c>
      <c r="M67" s="119">
        <v>0.0</v>
      </c>
      <c r="P67" s="22">
        <v>312552.14</v>
      </c>
      <c r="Q67" s="21">
        <v>7405.0</v>
      </c>
      <c r="R67" s="22">
        <f t="shared" si="42"/>
        <v>305147.14</v>
      </c>
    </row>
    <row r="68" ht="15.75" customHeight="1">
      <c r="A68" s="110" t="s">
        <v>25</v>
      </c>
      <c r="B68" s="111">
        <f>50625+32444</f>
        <v>83069</v>
      </c>
      <c r="C68" s="112">
        <f t="shared" si="43"/>
        <v>30450</v>
      </c>
      <c r="D68" s="113">
        <f t="shared" si="44"/>
        <v>52619</v>
      </c>
      <c r="E68" s="34">
        <f t="shared" si="45"/>
        <v>63.3437263</v>
      </c>
      <c r="F68" s="114">
        <f t="shared" si="46"/>
        <v>604.816092</v>
      </c>
      <c r="G68" s="115">
        <f>53+34+2+3+11</f>
        <v>103</v>
      </c>
      <c r="H68" s="36">
        <f>350*I68</f>
        <v>30450</v>
      </c>
      <c r="I68" s="116">
        <f>53+34</f>
        <v>87</v>
      </c>
      <c r="J68" s="36">
        <f t="shared" si="47"/>
        <v>16</v>
      </c>
      <c r="K68" s="117">
        <v>0.0</v>
      </c>
      <c r="L68" s="118">
        <f t="shared" si="48"/>
        <v>15.53398058</v>
      </c>
      <c r="M68" s="119">
        <v>0.0</v>
      </c>
      <c r="P68" s="22">
        <v>84049.91</v>
      </c>
      <c r="Q68" s="21">
        <v>4163.0</v>
      </c>
      <c r="R68" s="22">
        <f t="shared" si="42"/>
        <v>79886.91</v>
      </c>
    </row>
    <row r="69" ht="15.75" customHeight="1">
      <c r="A69" s="110" t="s">
        <v>26</v>
      </c>
      <c r="B69" s="111">
        <v>0.0</v>
      </c>
      <c r="C69" s="112">
        <f t="shared" si="43"/>
        <v>0</v>
      </c>
      <c r="D69" s="113">
        <f t="shared" si="44"/>
        <v>0</v>
      </c>
      <c r="E69" s="34" t="s">
        <v>65</v>
      </c>
      <c r="F69" s="114" t="s">
        <v>65</v>
      </c>
      <c r="G69" s="115">
        <v>0.0</v>
      </c>
      <c r="H69" s="36">
        <f> 980*I69</f>
        <v>0</v>
      </c>
      <c r="I69" s="116">
        <v>0.0</v>
      </c>
      <c r="J69" s="36">
        <v>0.0</v>
      </c>
      <c r="K69" s="117">
        <v>0.0</v>
      </c>
      <c r="L69" s="118">
        <v>0.0</v>
      </c>
      <c r="M69" s="119">
        <v>0.0</v>
      </c>
      <c r="P69" s="22">
        <v>960893.46</v>
      </c>
      <c r="Q69" s="21">
        <v>284095.0</v>
      </c>
      <c r="R69" s="22">
        <f t="shared" si="42"/>
        <v>676798.46</v>
      </c>
    </row>
    <row r="70" ht="15.75" customHeight="1">
      <c r="A70" s="110" t="s">
        <v>27</v>
      </c>
      <c r="B70" s="111">
        <f>16367+14781</f>
        <v>31148</v>
      </c>
      <c r="C70" s="112">
        <f t="shared" si="43"/>
        <v>17160</v>
      </c>
      <c r="D70" s="113">
        <f t="shared" si="44"/>
        <v>13988</v>
      </c>
      <c r="E70" s="34">
        <f t="shared" ref="E70:E73" si="49">D70/B70*100</f>
        <v>44.9081803</v>
      </c>
      <c r="F70" s="114">
        <f t="shared" ref="F70:F72" si="50">D70/I70</f>
        <v>179.3333333</v>
      </c>
      <c r="G70" s="115">
        <f>41+37+14+3+8</f>
        <v>103</v>
      </c>
      <c r="H70" s="36">
        <f>220*I70</f>
        <v>17160</v>
      </c>
      <c r="I70" s="116">
        <f>41+37</f>
        <v>78</v>
      </c>
      <c r="J70" s="36">
        <f t="shared" ref="J70:J73" si="51">G70-I70</f>
        <v>25</v>
      </c>
      <c r="K70" s="117">
        <v>0.0</v>
      </c>
      <c r="L70" s="118">
        <f t="shared" ref="L70:L73" si="52">J70/G70*100</f>
        <v>24.27184466</v>
      </c>
      <c r="M70" s="119">
        <v>0.0</v>
      </c>
      <c r="P70" s="22">
        <v>1343322.48</v>
      </c>
      <c r="Q70" s="21">
        <v>466885.0</v>
      </c>
      <c r="R70" s="22">
        <f t="shared" si="42"/>
        <v>876437.48</v>
      </c>
    </row>
    <row r="71" ht="15.75" customHeight="1">
      <c r="A71" s="110" t="s">
        <v>28</v>
      </c>
      <c r="B71" s="111">
        <f>29236+8849</f>
        <v>38085</v>
      </c>
      <c r="C71" s="112">
        <f t="shared" si="43"/>
        <v>15930</v>
      </c>
      <c r="D71" s="113">
        <f t="shared" si="44"/>
        <v>22155</v>
      </c>
      <c r="E71" s="34">
        <f t="shared" si="49"/>
        <v>58.17250886</v>
      </c>
      <c r="F71" s="114">
        <f t="shared" si="50"/>
        <v>375.5084746</v>
      </c>
      <c r="G71" s="115">
        <f>45+14+3+8</f>
        <v>70</v>
      </c>
      <c r="H71" s="36">
        <f>270*I71</f>
        <v>15930</v>
      </c>
      <c r="I71" s="116">
        <f>45+14</f>
        <v>59</v>
      </c>
      <c r="J71" s="36">
        <f t="shared" si="51"/>
        <v>11</v>
      </c>
      <c r="K71" s="117">
        <v>0.0</v>
      </c>
      <c r="L71" s="118">
        <f t="shared" si="52"/>
        <v>15.71428571</v>
      </c>
      <c r="M71" s="119">
        <v>0.0</v>
      </c>
      <c r="P71" s="22">
        <v>208445.6</v>
      </c>
      <c r="Q71" s="21">
        <v>9463.0</v>
      </c>
      <c r="R71" s="22">
        <f t="shared" si="42"/>
        <v>198982.6</v>
      </c>
    </row>
    <row r="72" ht="15.75" customHeight="1">
      <c r="A72" s="110" t="s">
        <v>29</v>
      </c>
      <c r="B72" s="111">
        <v>0.0</v>
      </c>
      <c r="C72" s="112">
        <f t="shared" si="43"/>
        <v>0</v>
      </c>
      <c r="D72" s="113">
        <f t="shared" si="44"/>
        <v>0</v>
      </c>
      <c r="E72" s="34" t="str">
        <f t="shared" si="49"/>
        <v>#DIV/0!</v>
      </c>
      <c r="F72" s="114" t="str">
        <f t="shared" si="50"/>
        <v>#DIV/0!</v>
      </c>
      <c r="G72" s="115">
        <v>0.0</v>
      </c>
      <c r="H72" s="36">
        <f>320*I72</f>
        <v>0</v>
      </c>
      <c r="I72" s="116">
        <v>0.0</v>
      </c>
      <c r="J72" s="36">
        <f t="shared" si="51"/>
        <v>0</v>
      </c>
      <c r="K72" s="117">
        <v>0.0</v>
      </c>
      <c r="L72" s="118" t="str">
        <f t="shared" si="52"/>
        <v>#DIV/0!</v>
      </c>
      <c r="M72" s="119">
        <v>0.0</v>
      </c>
      <c r="P72" s="22">
        <v>548969.15</v>
      </c>
      <c r="Q72" s="21">
        <v>32003.0</v>
      </c>
      <c r="R72" s="22">
        <f t="shared" si="42"/>
        <v>516966.15</v>
      </c>
    </row>
    <row r="73" ht="15.75" customHeight="1">
      <c r="A73" s="110" t="s">
        <v>30</v>
      </c>
      <c r="B73" s="111">
        <f>13855+7207</f>
        <v>21062</v>
      </c>
      <c r="C73" s="112">
        <f t="shared" si="43"/>
        <v>8930</v>
      </c>
      <c r="D73" s="113">
        <f t="shared" si="44"/>
        <v>12132</v>
      </c>
      <c r="E73" s="34">
        <f t="shared" si="49"/>
        <v>57.60136739</v>
      </c>
      <c r="F73" s="114"/>
      <c r="G73" s="115">
        <f>13+6+1+1+3</f>
        <v>24</v>
      </c>
      <c r="H73" s="36">
        <f>470*I73</f>
        <v>8930</v>
      </c>
      <c r="I73" s="116">
        <f>13+6</f>
        <v>19</v>
      </c>
      <c r="J73" s="36">
        <f t="shared" si="51"/>
        <v>5</v>
      </c>
      <c r="K73" s="117">
        <v>0.0</v>
      </c>
      <c r="L73" s="118">
        <f t="shared" si="52"/>
        <v>20.83333333</v>
      </c>
      <c r="M73" s="119">
        <v>0.0</v>
      </c>
    </row>
    <row r="74" ht="15.75" customHeight="1">
      <c r="A74" s="21" t="s">
        <v>62</v>
      </c>
      <c r="B74" s="21">
        <f>SUM(B67:B73)</f>
        <v>221621</v>
      </c>
      <c r="H74" s="21">
        <f t="shared" ref="H74:I74" si="53">SUM(H67:H73)</f>
        <v>90560</v>
      </c>
      <c r="I74" s="21">
        <f t="shared" si="53"/>
        <v>310</v>
      </c>
      <c r="K74" s="21">
        <f>SUM(K67:K73)</f>
        <v>0</v>
      </c>
    </row>
    <row r="75" ht="15.75" customHeight="1">
      <c r="A75" s="21"/>
    </row>
    <row r="76" ht="15.75" customHeight="1">
      <c r="A76" s="102" t="s">
        <v>32</v>
      </c>
      <c r="B76" s="103">
        <f>sum(B54:B60)</f>
        <v>56026</v>
      </c>
      <c r="D76" s="101" t="s">
        <v>63</v>
      </c>
    </row>
    <row r="77" ht="15.75" customHeight="1">
      <c r="A77" s="102" t="s">
        <v>50</v>
      </c>
      <c r="B77" s="103">
        <f>H61</f>
        <v>14680</v>
      </c>
      <c r="D77" s="104" t="s">
        <v>50</v>
      </c>
      <c r="E77" s="105">
        <f>B77/I61</f>
        <v>282.3076923</v>
      </c>
    </row>
    <row r="78" ht="15.75" customHeight="1">
      <c r="A78" s="102" t="s">
        <v>68</v>
      </c>
      <c r="B78" s="106">
        <f>sum(K54:K60)</f>
        <v>24019.34</v>
      </c>
      <c r="D78" s="104" t="s">
        <v>35</v>
      </c>
      <c r="E78" s="105">
        <v>0.0</v>
      </c>
    </row>
    <row r="79" ht="15.75" customHeight="1">
      <c r="A79" s="102" t="s">
        <v>52</v>
      </c>
      <c r="B79" s="103">
        <v>2600.0</v>
      </c>
      <c r="D79" s="104" t="s">
        <v>84</v>
      </c>
      <c r="E79" s="105">
        <f>K61/I61</f>
        <v>461.9103846</v>
      </c>
    </row>
    <row r="80" ht="15.75" customHeight="1">
      <c r="A80" s="102" t="s">
        <v>36</v>
      </c>
      <c r="B80" s="106">
        <f>B76-(B77+B78+B79)</f>
        <v>14726.66</v>
      </c>
      <c r="D80" s="145" t="s">
        <v>33</v>
      </c>
      <c r="E80" s="146">
        <f>B76/I61</f>
        <v>1077.423077</v>
      </c>
    </row>
    <row r="81" ht="15.75" customHeight="1">
      <c r="A81" s="102" t="s">
        <v>38</v>
      </c>
      <c r="B81" s="120">
        <f>B80/B76*100</f>
        <v>26.28540321</v>
      </c>
    </row>
    <row r="82" ht="15.75" customHeight="1">
      <c r="F82" s="3"/>
      <c r="G82" s="45"/>
    </row>
    <row r="83" ht="15.75" customHeight="1">
      <c r="F83" s="3"/>
      <c r="G83" s="45"/>
    </row>
    <row r="84" ht="15.75" customHeight="1">
      <c r="A84" s="92" t="s">
        <v>77</v>
      </c>
      <c r="B84" s="93" t="s">
        <v>69</v>
      </c>
    </row>
    <row r="85" ht="15.75" customHeight="1"/>
    <row r="86" ht="15.75" customHeight="1">
      <c r="A86" s="54" t="s">
        <v>45</v>
      </c>
      <c r="B86" s="108" t="s">
        <v>3</v>
      </c>
      <c r="C86" s="108" t="s">
        <v>4</v>
      </c>
      <c r="D86" s="108" t="s">
        <v>5</v>
      </c>
      <c r="E86" s="109" t="s">
        <v>6</v>
      </c>
      <c r="F86" s="108" t="s">
        <v>7</v>
      </c>
      <c r="G86" s="108" t="s">
        <v>9</v>
      </c>
      <c r="H86" s="108" t="s">
        <v>11</v>
      </c>
      <c r="I86" s="108" t="s">
        <v>12</v>
      </c>
      <c r="J86" s="108" t="s">
        <v>87</v>
      </c>
      <c r="K86" s="108" t="s">
        <v>70</v>
      </c>
      <c r="L86" s="21" t="s">
        <v>51</v>
      </c>
      <c r="N86" s="22"/>
    </row>
    <row r="87" ht="15.75" customHeight="1">
      <c r="A87" s="110" t="s">
        <v>24</v>
      </c>
      <c r="B87" s="111">
        <f>689*I87</f>
        <v>130221</v>
      </c>
      <c r="C87" s="112">
        <f t="shared" ref="C87:C88" si="54">K87+H87+J87+L87</f>
        <v>83468.8</v>
      </c>
      <c r="D87" s="113">
        <f t="shared" ref="D87:D88" si="55">B87-C87</f>
        <v>46752.2</v>
      </c>
      <c r="E87" s="34">
        <f t="shared" ref="E87:E88" si="56">D87/B87*100</f>
        <v>35.90219703</v>
      </c>
      <c r="F87" s="114">
        <f t="shared" ref="F87:F88" si="57">D87/I87</f>
        <v>247.3661376</v>
      </c>
      <c r="G87" s="115">
        <v>189.0</v>
      </c>
      <c r="H87" s="36">
        <f>270*I87</f>
        <v>51030</v>
      </c>
      <c r="I87" s="116">
        <v>189.0</v>
      </c>
      <c r="J87" s="36">
        <v>9987.0</v>
      </c>
      <c r="K87" s="117">
        <f>70%*K89</f>
        <v>18671.8</v>
      </c>
      <c r="L87" s="21">
        <f t="shared" ref="L87:L88" si="58">20*I87</f>
        <v>3780</v>
      </c>
      <c r="N87" s="22"/>
    </row>
    <row r="88" ht="15.75" customHeight="1">
      <c r="A88" s="110" t="s">
        <v>27</v>
      </c>
      <c r="B88" s="111">
        <f>359*I88</f>
        <v>49542</v>
      </c>
      <c r="C88" s="112">
        <f t="shared" si="54"/>
        <v>45882.2</v>
      </c>
      <c r="D88" s="113">
        <f t="shared" si="55"/>
        <v>3659.8</v>
      </c>
      <c r="E88" s="34">
        <f t="shared" si="56"/>
        <v>7.387267369</v>
      </c>
      <c r="F88" s="114">
        <f t="shared" si="57"/>
        <v>26.52028986</v>
      </c>
      <c r="G88" s="115">
        <v>138.0</v>
      </c>
      <c r="H88" s="36">
        <f>220*I88</f>
        <v>30360</v>
      </c>
      <c r="I88" s="116">
        <v>138.0</v>
      </c>
      <c r="J88" s="36">
        <f>4760</f>
        <v>4760</v>
      </c>
      <c r="K88" s="117">
        <f>30%*K89</f>
        <v>8002.2</v>
      </c>
      <c r="L88" s="21">
        <f t="shared" si="58"/>
        <v>2760</v>
      </c>
      <c r="N88" s="22"/>
    </row>
    <row r="89" ht="15.75" customHeight="1">
      <c r="H89" s="21">
        <f t="shared" ref="H89:I89" si="59">SUM(H87:H88)</f>
        <v>81390</v>
      </c>
      <c r="I89" s="21">
        <f t="shared" si="59"/>
        <v>327</v>
      </c>
      <c r="K89" s="21">
        <v>26674.0</v>
      </c>
      <c r="L89" s="21">
        <f>SUM(L87:L88)</f>
        <v>6540</v>
      </c>
    </row>
    <row r="90" ht="15.75" customHeight="1"/>
    <row r="91" ht="15.75" customHeight="1">
      <c r="A91" s="102" t="s">
        <v>32</v>
      </c>
      <c r="B91" s="103">
        <f>sum(B87:B88)</f>
        <v>179763</v>
      </c>
      <c r="D91" s="101" t="s">
        <v>63</v>
      </c>
    </row>
    <row r="92" ht="15.75" customHeight="1">
      <c r="A92" s="102" t="s">
        <v>50</v>
      </c>
      <c r="B92" s="103">
        <f>H89</f>
        <v>81390</v>
      </c>
      <c r="D92" s="104" t="s">
        <v>50</v>
      </c>
      <c r="E92" s="105">
        <f>B92/I89</f>
        <v>248.8990826</v>
      </c>
    </row>
    <row r="93" ht="15.75" customHeight="1">
      <c r="A93" s="102" t="s">
        <v>73</v>
      </c>
      <c r="B93" s="103">
        <f>L89</f>
        <v>6540</v>
      </c>
      <c r="D93" s="104" t="s">
        <v>35</v>
      </c>
      <c r="E93" s="105">
        <f>K89/I89</f>
        <v>81.57186544</v>
      </c>
    </row>
    <row r="94" ht="15.75" customHeight="1">
      <c r="A94" s="102" t="s">
        <v>74</v>
      </c>
      <c r="B94" s="103">
        <f>sum(K87:K88)</f>
        <v>26674</v>
      </c>
      <c r="D94" s="21" t="s">
        <v>51</v>
      </c>
      <c r="E94" s="105">
        <f>L89/I89</f>
        <v>20</v>
      </c>
    </row>
    <row r="95" ht="15.75" customHeight="1">
      <c r="A95" s="102" t="s">
        <v>36</v>
      </c>
      <c r="B95" s="103">
        <f>B91-(B92+B93+B94)</f>
        <v>65159</v>
      </c>
      <c r="D95" s="145" t="s">
        <v>33</v>
      </c>
      <c r="E95" s="146">
        <f>B91/I89</f>
        <v>549.733945</v>
      </c>
    </row>
    <row r="96" ht="15.75" customHeight="1">
      <c r="A96" s="102" t="s">
        <v>38</v>
      </c>
      <c r="B96" s="120">
        <f>B95/B91*100</f>
        <v>36.24716988</v>
      </c>
    </row>
    <row r="97" ht="15.75" customHeight="1">
      <c r="F97" s="3"/>
      <c r="G97" s="45"/>
    </row>
    <row r="98" ht="15.75" customHeight="1">
      <c r="F98" s="3"/>
      <c r="G98" s="45"/>
    </row>
    <row r="99" ht="15.75" customHeight="1">
      <c r="F99" s="3"/>
      <c r="G99" s="45"/>
    </row>
    <row r="100" ht="15.75" customHeight="1">
      <c r="F100" s="3"/>
      <c r="G100" s="45"/>
    </row>
    <row r="101" ht="15.75" customHeight="1">
      <c r="F101" s="3"/>
      <c r="G101" s="45"/>
    </row>
    <row r="102" ht="15.75" customHeight="1">
      <c r="A102" s="121"/>
      <c r="B102" s="122"/>
      <c r="E102" s="123"/>
      <c r="F102" s="124"/>
      <c r="G102" s="45"/>
    </row>
    <row r="103" ht="15.75" customHeight="1">
      <c r="A103" s="125"/>
      <c r="B103" s="126"/>
      <c r="C103" s="61"/>
      <c r="E103" s="123"/>
      <c r="F103" s="124"/>
      <c r="G103" s="47"/>
    </row>
    <row r="104" ht="15.75" customHeight="1">
      <c r="A104" s="127"/>
      <c r="B104" s="128"/>
      <c r="C104" s="148"/>
      <c r="E104" s="123"/>
      <c r="F104" s="124"/>
    </row>
    <row r="105" ht="15.75" customHeight="1">
      <c r="A105" s="129"/>
      <c r="B105" s="130"/>
      <c r="C105" s="61"/>
      <c r="E105" s="123"/>
      <c r="F105" s="124"/>
    </row>
    <row r="106" ht="15.75" customHeight="1">
      <c r="A106" s="131"/>
      <c r="B106" s="132"/>
      <c r="C106" s="61"/>
      <c r="E106" s="123"/>
      <c r="F106" s="124"/>
    </row>
    <row r="107" ht="15.75" customHeight="1">
      <c r="A107" s="133"/>
      <c r="B107" s="134"/>
      <c r="E107" s="135"/>
      <c r="F107" s="136"/>
    </row>
    <row r="108" ht="15.75" customHeight="1">
      <c r="A108" s="137"/>
      <c r="B108" s="138"/>
    </row>
    <row r="109" ht="15.75" customHeight="1">
      <c r="A109" s="139"/>
      <c r="B109" s="140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2" t="s">
        <v>88</v>
      </c>
      <c r="B1" s="9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3"/>
      <c r="V2" s="3"/>
      <c r="W2" s="3"/>
      <c r="X2" s="3"/>
      <c r="Y2" s="3"/>
      <c r="Z2" s="3"/>
    </row>
    <row r="3">
      <c r="A3" s="7" t="s">
        <v>2</v>
      </c>
      <c r="B3" s="29" t="s">
        <v>3</v>
      </c>
      <c r="C3" s="29" t="s">
        <v>4</v>
      </c>
      <c r="D3" s="29" t="s">
        <v>5</v>
      </c>
      <c r="E3" s="30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14</v>
      </c>
      <c r="M3" s="29" t="s">
        <v>13</v>
      </c>
      <c r="N3" s="29" t="s">
        <v>18</v>
      </c>
      <c r="O3" s="29" t="s">
        <v>89</v>
      </c>
      <c r="P3" s="30" t="s">
        <v>15</v>
      </c>
      <c r="Q3" s="30" t="s">
        <v>16</v>
      </c>
      <c r="R3" s="30" t="s">
        <v>17</v>
      </c>
      <c r="S3" s="29" t="s">
        <v>22</v>
      </c>
      <c r="T3" s="29" t="s">
        <v>23</v>
      </c>
      <c r="U3" s="3"/>
      <c r="V3" s="3"/>
      <c r="W3" s="3"/>
      <c r="X3" s="3"/>
      <c r="Y3" s="3"/>
      <c r="Z3" s="3"/>
    </row>
    <row r="4">
      <c r="A4" s="7" t="s">
        <v>24</v>
      </c>
      <c r="B4" s="12">
        <v>391891.0</v>
      </c>
      <c r="C4" s="32">
        <f t="shared" ref="C4:C20" si="1">G4+J4+L4</f>
        <v>134261</v>
      </c>
      <c r="D4" s="33">
        <f t="shared" ref="D4:D21" si="2">B4-C4</f>
        <v>257630</v>
      </c>
      <c r="E4" s="34">
        <f t="shared" ref="E4:E20" si="3">D4/B4*100</f>
        <v>65.74021858</v>
      </c>
      <c r="F4" s="35">
        <f t="shared" ref="F4:F20" si="4">D4/K4</f>
        <v>723.6797753</v>
      </c>
      <c r="G4" s="68"/>
      <c r="H4" s="12">
        <v>441.0</v>
      </c>
      <c r="I4" s="12">
        <v>423.0</v>
      </c>
      <c r="J4" s="36">
        <f>250*K4</f>
        <v>89000</v>
      </c>
      <c r="K4" s="12">
        <v>356.0</v>
      </c>
      <c r="L4" s="69">
        <f t="shared" ref="L4:L20" si="5">I4*107</f>
        <v>45261</v>
      </c>
      <c r="M4" s="12">
        <f t="shared" ref="M4:M15" si="6">I4-K4-N4</f>
        <v>23</v>
      </c>
      <c r="N4" s="12">
        <v>44.0</v>
      </c>
      <c r="O4" s="12">
        <v>46955.0</v>
      </c>
      <c r="P4" s="39">
        <f t="shared" ref="P4:P20" si="7">M4/I4*100</f>
        <v>5.437352246</v>
      </c>
      <c r="Q4" s="70">
        <f t="shared" ref="Q4:Q20" si="8">I4/H4*100</f>
        <v>95.91836735</v>
      </c>
      <c r="R4" s="40">
        <f t="shared" ref="R4:R15" si="9">K4/I4*100</f>
        <v>84.1607565</v>
      </c>
      <c r="S4" s="35">
        <f t="shared" ref="S4:S15" si="10">G4/K4</f>
        <v>0</v>
      </c>
      <c r="T4" s="35">
        <f t="shared" ref="T4:T15" si="11">100-Q4</f>
        <v>4.081632653</v>
      </c>
      <c r="U4" s="3"/>
      <c r="V4" s="3"/>
      <c r="W4" s="3"/>
      <c r="X4" s="3"/>
      <c r="Y4" s="3"/>
      <c r="Z4" s="3"/>
    </row>
    <row r="5">
      <c r="A5" s="7" t="s">
        <v>25</v>
      </c>
      <c r="B5" s="12">
        <v>360675.0</v>
      </c>
      <c r="C5" s="94">
        <f t="shared" si="1"/>
        <v>131179</v>
      </c>
      <c r="D5" s="95">
        <f t="shared" si="2"/>
        <v>229496</v>
      </c>
      <c r="E5" s="34">
        <f t="shared" si="3"/>
        <v>63.62958342</v>
      </c>
      <c r="F5" s="35">
        <f t="shared" si="4"/>
        <v>808.084507</v>
      </c>
      <c r="G5" s="96"/>
      <c r="H5" s="12">
        <v>312.0</v>
      </c>
      <c r="I5" s="12">
        <v>297.0</v>
      </c>
      <c r="J5" s="36">
        <f>350*K5</f>
        <v>99400</v>
      </c>
      <c r="K5" s="12">
        <v>284.0</v>
      </c>
      <c r="L5" s="69">
        <f t="shared" si="5"/>
        <v>31779</v>
      </c>
      <c r="M5" s="12">
        <f t="shared" si="6"/>
        <v>12</v>
      </c>
      <c r="N5" s="12">
        <v>1.0</v>
      </c>
      <c r="O5" s="12">
        <v>1299.0</v>
      </c>
      <c r="P5" s="39">
        <f t="shared" si="7"/>
        <v>4.04040404</v>
      </c>
      <c r="Q5" s="70">
        <f t="shared" si="8"/>
        <v>95.19230769</v>
      </c>
      <c r="R5" s="40">
        <f t="shared" si="9"/>
        <v>95.62289562</v>
      </c>
      <c r="S5" s="35">
        <f t="shared" si="10"/>
        <v>0</v>
      </c>
      <c r="T5" s="35">
        <f t="shared" si="11"/>
        <v>4.807692308</v>
      </c>
      <c r="U5" s="3"/>
      <c r="V5" s="3"/>
      <c r="W5" s="3"/>
      <c r="X5" s="3"/>
      <c r="Y5" s="3"/>
      <c r="Z5" s="3"/>
    </row>
    <row r="6">
      <c r="A6" s="7" t="s">
        <v>26</v>
      </c>
      <c r="B6" s="12">
        <v>1453218.0</v>
      </c>
      <c r="C6" s="32">
        <f t="shared" si="1"/>
        <v>697698</v>
      </c>
      <c r="D6" s="33">
        <f t="shared" si="2"/>
        <v>755520</v>
      </c>
      <c r="E6" s="34">
        <f t="shared" si="3"/>
        <v>51.98944687</v>
      </c>
      <c r="F6" s="35">
        <f t="shared" si="4"/>
        <v>881.5869312</v>
      </c>
      <c r="G6" s="68"/>
      <c r="H6" s="12">
        <v>942.0</v>
      </c>
      <c r="I6" s="12">
        <v>914.0</v>
      </c>
      <c r="J6" s="36">
        <f> 700*K6</f>
        <v>599900</v>
      </c>
      <c r="K6" s="12">
        <v>857.0</v>
      </c>
      <c r="L6" s="69">
        <f t="shared" si="5"/>
        <v>97798</v>
      </c>
      <c r="M6" s="12">
        <f t="shared" si="6"/>
        <v>57</v>
      </c>
      <c r="N6" s="68"/>
      <c r="O6" s="68"/>
      <c r="P6" s="39">
        <f t="shared" si="7"/>
        <v>6.236323851</v>
      </c>
      <c r="Q6" s="70">
        <f t="shared" si="8"/>
        <v>97.02760085</v>
      </c>
      <c r="R6" s="40">
        <f t="shared" si="9"/>
        <v>93.76367615</v>
      </c>
      <c r="S6" s="35">
        <f t="shared" si="10"/>
        <v>0</v>
      </c>
      <c r="T6" s="35">
        <f t="shared" si="11"/>
        <v>2.972399151</v>
      </c>
      <c r="U6" s="3"/>
      <c r="V6" s="3"/>
      <c r="W6" s="3"/>
      <c r="X6" s="3"/>
      <c r="Y6" s="3"/>
      <c r="Z6" s="3"/>
    </row>
    <row r="7">
      <c r="A7" s="7" t="s">
        <v>27</v>
      </c>
      <c r="B7" s="12">
        <v>173643.0</v>
      </c>
      <c r="C7" s="32">
        <f t="shared" si="1"/>
        <v>117842</v>
      </c>
      <c r="D7" s="33">
        <f t="shared" si="2"/>
        <v>55801</v>
      </c>
      <c r="E7" s="34">
        <f t="shared" si="3"/>
        <v>32.13547336</v>
      </c>
      <c r="F7" s="35">
        <f t="shared" si="4"/>
        <v>150.0026882</v>
      </c>
      <c r="G7" s="68"/>
      <c r="H7" s="12">
        <v>422.0</v>
      </c>
      <c r="I7" s="12">
        <v>406.0</v>
      </c>
      <c r="J7" s="36">
        <f>200*K7</f>
        <v>74400</v>
      </c>
      <c r="K7" s="12">
        <v>372.0</v>
      </c>
      <c r="L7" s="69">
        <f t="shared" si="5"/>
        <v>43442</v>
      </c>
      <c r="M7" s="12">
        <f t="shared" si="6"/>
        <v>34</v>
      </c>
      <c r="N7" s="68"/>
      <c r="O7" s="68"/>
      <c r="P7" s="39">
        <f t="shared" si="7"/>
        <v>8.374384236</v>
      </c>
      <c r="Q7" s="70">
        <f t="shared" si="8"/>
        <v>96.20853081</v>
      </c>
      <c r="R7" s="40">
        <f t="shared" si="9"/>
        <v>91.62561576</v>
      </c>
      <c r="S7" s="35">
        <f t="shared" si="10"/>
        <v>0</v>
      </c>
      <c r="T7" s="35">
        <f t="shared" si="11"/>
        <v>3.791469194</v>
      </c>
      <c r="U7" s="3"/>
      <c r="V7" s="3"/>
      <c r="W7" s="3"/>
      <c r="X7" s="3"/>
      <c r="Y7" s="3"/>
      <c r="Z7" s="3"/>
    </row>
    <row r="8">
      <c r="A8" s="7" t="s">
        <v>28</v>
      </c>
      <c r="B8" s="12">
        <v>117269.0</v>
      </c>
      <c r="C8" s="32">
        <f t="shared" si="1"/>
        <v>40019</v>
      </c>
      <c r="D8" s="33">
        <f t="shared" si="2"/>
        <v>77250</v>
      </c>
      <c r="E8" s="34">
        <f t="shared" si="3"/>
        <v>65.8741867</v>
      </c>
      <c r="F8" s="35">
        <f t="shared" si="4"/>
        <v>702.2727273</v>
      </c>
      <c r="G8" s="68"/>
      <c r="H8" s="12">
        <v>121.0</v>
      </c>
      <c r="I8" s="12">
        <v>117.0</v>
      </c>
      <c r="J8" s="36">
        <f>250*K8</f>
        <v>27500</v>
      </c>
      <c r="K8" s="12">
        <v>110.0</v>
      </c>
      <c r="L8" s="69">
        <f t="shared" si="5"/>
        <v>12519</v>
      </c>
      <c r="M8" s="12">
        <f t="shared" si="6"/>
        <v>7</v>
      </c>
      <c r="N8" s="68"/>
      <c r="O8" s="68"/>
      <c r="P8" s="39">
        <f t="shared" si="7"/>
        <v>5.982905983</v>
      </c>
      <c r="Q8" s="70">
        <f t="shared" si="8"/>
        <v>96.69421488</v>
      </c>
      <c r="R8" s="40">
        <f t="shared" si="9"/>
        <v>94.01709402</v>
      </c>
      <c r="S8" s="35">
        <f t="shared" si="10"/>
        <v>0</v>
      </c>
      <c r="T8" s="35">
        <f t="shared" si="11"/>
        <v>3.305785124</v>
      </c>
      <c r="U8" s="3"/>
      <c r="V8" s="3"/>
      <c r="W8" s="3"/>
      <c r="X8" s="3"/>
      <c r="Y8" s="3"/>
      <c r="Z8" s="3"/>
    </row>
    <row r="9">
      <c r="A9" s="7" t="s">
        <v>29</v>
      </c>
      <c r="B9" s="12">
        <v>639863.0</v>
      </c>
      <c r="C9" s="32">
        <f t="shared" si="1"/>
        <v>264839</v>
      </c>
      <c r="D9" s="33">
        <f t="shared" si="2"/>
        <v>375024</v>
      </c>
      <c r="E9" s="34">
        <f t="shared" si="3"/>
        <v>58.61004621</v>
      </c>
      <c r="F9" s="35">
        <f t="shared" si="4"/>
        <v>663.759292</v>
      </c>
      <c r="G9" s="68"/>
      <c r="H9" s="12">
        <v>656.0</v>
      </c>
      <c r="I9" s="12">
        <v>627.0</v>
      </c>
      <c r="J9" s="36">
        <f>350*K9</f>
        <v>197750</v>
      </c>
      <c r="K9" s="12">
        <v>565.0</v>
      </c>
      <c r="L9" s="69">
        <f t="shared" si="5"/>
        <v>67089</v>
      </c>
      <c r="M9" s="12">
        <f t="shared" si="6"/>
        <v>62</v>
      </c>
      <c r="N9" s="68"/>
      <c r="O9" s="68"/>
      <c r="P9" s="39">
        <f t="shared" si="7"/>
        <v>9.888357257</v>
      </c>
      <c r="Q9" s="70">
        <f t="shared" si="8"/>
        <v>95.57926829</v>
      </c>
      <c r="R9" s="40">
        <f t="shared" si="9"/>
        <v>90.11164274</v>
      </c>
      <c r="S9" s="35">
        <f t="shared" si="10"/>
        <v>0</v>
      </c>
      <c r="T9" s="35">
        <f t="shared" si="11"/>
        <v>4.420731707</v>
      </c>
      <c r="U9" s="3"/>
      <c r="V9" s="3"/>
      <c r="W9" s="3"/>
      <c r="X9" s="3"/>
      <c r="Y9" s="3"/>
      <c r="Z9" s="3"/>
    </row>
    <row r="10">
      <c r="A10" s="7" t="s">
        <v>30</v>
      </c>
      <c r="B10" s="12">
        <v>277825.0</v>
      </c>
      <c r="C10" s="94">
        <f t="shared" si="1"/>
        <v>123308</v>
      </c>
      <c r="D10" s="95">
        <f t="shared" si="2"/>
        <v>154517</v>
      </c>
      <c r="E10" s="34">
        <f t="shared" si="3"/>
        <v>55.61666517</v>
      </c>
      <c r="F10" s="35">
        <f t="shared" si="4"/>
        <v>715.3564815</v>
      </c>
      <c r="G10" s="96"/>
      <c r="H10" s="12">
        <v>256.0</v>
      </c>
      <c r="I10" s="12">
        <v>244.0</v>
      </c>
      <c r="J10" s="36">
        <f>450*K10</f>
        <v>97200</v>
      </c>
      <c r="K10" s="12">
        <v>216.0</v>
      </c>
      <c r="L10" s="69">
        <f t="shared" si="5"/>
        <v>26108</v>
      </c>
      <c r="M10" s="12">
        <f t="shared" si="6"/>
        <v>24</v>
      </c>
      <c r="N10" s="12">
        <v>4.0</v>
      </c>
      <c r="O10" s="12">
        <v>3600.0</v>
      </c>
      <c r="P10" s="39">
        <f t="shared" si="7"/>
        <v>9.836065574</v>
      </c>
      <c r="Q10" s="70">
        <f t="shared" si="8"/>
        <v>95.3125</v>
      </c>
      <c r="R10" s="40">
        <f t="shared" si="9"/>
        <v>88.52459016</v>
      </c>
      <c r="S10" s="35">
        <f t="shared" si="10"/>
        <v>0</v>
      </c>
      <c r="T10" s="35">
        <f t="shared" si="11"/>
        <v>4.6875</v>
      </c>
      <c r="U10" s="3"/>
      <c r="V10" s="3"/>
      <c r="W10" s="3"/>
      <c r="X10" s="3"/>
      <c r="Y10" s="3"/>
      <c r="Z10" s="3"/>
    </row>
    <row r="11">
      <c r="A11" s="7" t="s">
        <v>31</v>
      </c>
      <c r="B11" s="12">
        <v>678587.0</v>
      </c>
      <c r="C11" s="94">
        <f t="shared" si="1"/>
        <v>333904</v>
      </c>
      <c r="D11" s="95">
        <f t="shared" si="2"/>
        <v>344683</v>
      </c>
      <c r="E11" s="34">
        <f t="shared" si="3"/>
        <v>50.79422388</v>
      </c>
      <c r="F11" s="35">
        <f t="shared" si="4"/>
        <v>790.5573394</v>
      </c>
      <c r="G11" s="96"/>
      <c r="H11" s="12">
        <v>492.0</v>
      </c>
      <c r="I11" s="12">
        <v>472.0</v>
      </c>
      <c r="J11" s="36">
        <f>650*K11</f>
        <v>283400</v>
      </c>
      <c r="K11" s="12">
        <v>436.0</v>
      </c>
      <c r="L11" s="69">
        <f t="shared" si="5"/>
        <v>50504</v>
      </c>
      <c r="M11" s="12">
        <f t="shared" si="6"/>
        <v>27</v>
      </c>
      <c r="N11" s="12">
        <v>9.0</v>
      </c>
      <c r="O11" s="12">
        <v>15091.0</v>
      </c>
      <c r="P11" s="39">
        <f t="shared" si="7"/>
        <v>5.720338983</v>
      </c>
      <c r="Q11" s="70">
        <f t="shared" si="8"/>
        <v>95.93495935</v>
      </c>
      <c r="R11" s="40">
        <f t="shared" si="9"/>
        <v>92.37288136</v>
      </c>
      <c r="S11" s="35">
        <f t="shared" si="10"/>
        <v>0</v>
      </c>
      <c r="T11" s="35">
        <f t="shared" si="11"/>
        <v>4.06504065</v>
      </c>
      <c r="U11" s="3"/>
      <c r="V11" s="3"/>
      <c r="W11" s="3"/>
      <c r="X11" s="3"/>
      <c r="Y11" s="3"/>
      <c r="Z11" s="3"/>
    </row>
    <row r="12">
      <c r="A12" s="7" t="s">
        <v>78</v>
      </c>
      <c r="B12" s="12">
        <v>2110693.0</v>
      </c>
      <c r="C12" s="94">
        <f t="shared" si="1"/>
        <v>1022889</v>
      </c>
      <c r="D12" s="95">
        <f t="shared" si="2"/>
        <v>1087804</v>
      </c>
      <c r="E12" s="34">
        <f t="shared" si="3"/>
        <v>51.53776508</v>
      </c>
      <c r="F12" s="35">
        <f t="shared" si="4"/>
        <v>949.2181501</v>
      </c>
      <c r="G12" s="96"/>
      <c r="H12" s="12">
        <v>1596.0</v>
      </c>
      <c r="I12" s="12">
        <v>1527.0</v>
      </c>
      <c r="J12" s="36">
        <f>750*K12</f>
        <v>859500</v>
      </c>
      <c r="K12" s="12">
        <v>1146.0</v>
      </c>
      <c r="L12" s="69">
        <f t="shared" si="5"/>
        <v>163389</v>
      </c>
      <c r="M12" s="12">
        <f t="shared" si="6"/>
        <v>75</v>
      </c>
      <c r="N12" s="12">
        <v>306.0</v>
      </c>
      <c r="O12" s="12">
        <v>614127.0</v>
      </c>
      <c r="P12" s="39">
        <f t="shared" si="7"/>
        <v>4.911591356</v>
      </c>
      <c r="Q12" s="70">
        <f t="shared" si="8"/>
        <v>95.67669173</v>
      </c>
      <c r="R12" s="40">
        <f t="shared" si="9"/>
        <v>75.04911591</v>
      </c>
      <c r="S12" s="35">
        <f t="shared" si="10"/>
        <v>0</v>
      </c>
      <c r="T12" s="35">
        <f t="shared" si="11"/>
        <v>4.323308271</v>
      </c>
      <c r="U12" s="3"/>
      <c r="V12" s="3"/>
      <c r="W12" s="3"/>
      <c r="X12" s="3"/>
      <c r="Y12" s="3"/>
      <c r="Z12" s="3"/>
    </row>
    <row r="13">
      <c r="A13" s="7" t="s">
        <v>76</v>
      </c>
      <c r="B13" s="12">
        <v>1099.0</v>
      </c>
      <c r="C13" s="94">
        <f t="shared" si="1"/>
        <v>607</v>
      </c>
      <c r="D13" s="95">
        <f t="shared" si="2"/>
        <v>492</v>
      </c>
      <c r="E13" s="34">
        <f t="shared" si="3"/>
        <v>44.76797088</v>
      </c>
      <c r="F13" s="35">
        <f t="shared" si="4"/>
        <v>492</v>
      </c>
      <c r="G13" s="96"/>
      <c r="H13" s="12">
        <v>1.0</v>
      </c>
      <c r="I13" s="12">
        <v>1.0</v>
      </c>
      <c r="J13" s="36">
        <f>500*K13</f>
        <v>500</v>
      </c>
      <c r="K13" s="12">
        <v>1.0</v>
      </c>
      <c r="L13" s="69">
        <f t="shared" si="5"/>
        <v>107</v>
      </c>
      <c r="M13" s="12">
        <f t="shared" si="6"/>
        <v>0</v>
      </c>
      <c r="N13" s="68"/>
      <c r="O13" s="68"/>
      <c r="P13" s="39">
        <f t="shared" si="7"/>
        <v>0</v>
      </c>
      <c r="Q13" s="70">
        <f t="shared" si="8"/>
        <v>100</v>
      </c>
      <c r="R13" s="40">
        <f t="shared" si="9"/>
        <v>100</v>
      </c>
      <c r="S13" s="35">
        <f t="shared" si="10"/>
        <v>0</v>
      </c>
      <c r="T13" s="35">
        <f t="shared" si="11"/>
        <v>0</v>
      </c>
      <c r="U13" s="3"/>
      <c r="V13" s="3"/>
      <c r="W13" s="3"/>
      <c r="X13" s="3"/>
      <c r="Y13" s="3"/>
      <c r="Z13" s="3"/>
    </row>
    <row r="14">
      <c r="A14" s="7" t="s">
        <v>79</v>
      </c>
      <c r="B14" s="12">
        <v>59551.0</v>
      </c>
      <c r="C14" s="94">
        <f t="shared" si="1"/>
        <v>39864</v>
      </c>
      <c r="D14" s="95">
        <f t="shared" si="2"/>
        <v>19687</v>
      </c>
      <c r="E14" s="34">
        <f t="shared" si="3"/>
        <v>33.05905862</v>
      </c>
      <c r="F14" s="35">
        <f t="shared" si="4"/>
        <v>401.7755102</v>
      </c>
      <c r="G14" s="96"/>
      <c r="H14" s="12">
        <v>53.0</v>
      </c>
      <c r="I14" s="12">
        <v>52.0</v>
      </c>
      <c r="J14" s="36">
        <f>K14*700</f>
        <v>34300</v>
      </c>
      <c r="K14" s="12">
        <v>49.0</v>
      </c>
      <c r="L14" s="69">
        <f t="shared" si="5"/>
        <v>5564</v>
      </c>
      <c r="M14" s="12">
        <f t="shared" si="6"/>
        <v>3</v>
      </c>
      <c r="N14" s="68"/>
      <c r="O14" s="68"/>
      <c r="P14" s="39">
        <f t="shared" si="7"/>
        <v>5.769230769</v>
      </c>
      <c r="Q14" s="70">
        <f t="shared" si="8"/>
        <v>98.11320755</v>
      </c>
      <c r="R14" s="40">
        <f t="shared" si="9"/>
        <v>94.23076923</v>
      </c>
      <c r="S14" s="35">
        <f t="shared" si="10"/>
        <v>0</v>
      </c>
      <c r="T14" s="35">
        <f t="shared" si="11"/>
        <v>1.886792453</v>
      </c>
      <c r="U14" s="3"/>
      <c r="V14" s="3"/>
      <c r="W14" s="3"/>
      <c r="X14" s="3"/>
      <c r="Y14" s="3"/>
      <c r="Z14" s="3"/>
    </row>
    <row r="15">
      <c r="A15" s="7" t="s">
        <v>80</v>
      </c>
      <c r="B15" s="12">
        <v>85926.0</v>
      </c>
      <c r="C15" s="94">
        <f t="shared" si="1"/>
        <v>46673</v>
      </c>
      <c r="D15" s="95">
        <f t="shared" si="2"/>
        <v>39253</v>
      </c>
      <c r="E15" s="34">
        <f t="shared" si="3"/>
        <v>45.68233131</v>
      </c>
      <c r="F15" s="35">
        <f t="shared" si="4"/>
        <v>503.2435897</v>
      </c>
      <c r="G15" s="96"/>
      <c r="H15" s="12">
        <v>82.0</v>
      </c>
      <c r="I15" s="12">
        <v>79.0</v>
      </c>
      <c r="J15" s="36">
        <f>490*K15</f>
        <v>38220</v>
      </c>
      <c r="K15" s="12">
        <v>78.0</v>
      </c>
      <c r="L15" s="69">
        <f t="shared" si="5"/>
        <v>8453</v>
      </c>
      <c r="M15" s="12">
        <f t="shared" si="6"/>
        <v>1</v>
      </c>
      <c r="N15" s="68"/>
      <c r="O15" s="68"/>
      <c r="P15" s="39">
        <f t="shared" si="7"/>
        <v>1.265822785</v>
      </c>
      <c r="Q15" s="70">
        <f t="shared" si="8"/>
        <v>96.34146341</v>
      </c>
      <c r="R15" s="40">
        <f t="shared" si="9"/>
        <v>98.73417722</v>
      </c>
      <c r="S15" s="35">
        <f t="shared" si="10"/>
        <v>0</v>
      </c>
      <c r="T15" s="35">
        <f t="shared" si="11"/>
        <v>3.658536585</v>
      </c>
      <c r="U15" s="3"/>
      <c r="V15" s="3"/>
      <c r="W15" s="3"/>
      <c r="X15" s="3"/>
      <c r="Y15" s="3"/>
      <c r="Z15" s="3"/>
    </row>
    <row r="16">
      <c r="A16" s="7" t="s">
        <v>90</v>
      </c>
      <c r="B16" s="12">
        <v>47976.0</v>
      </c>
      <c r="C16" s="94">
        <f t="shared" si="1"/>
        <v>16475</v>
      </c>
      <c r="D16" s="95">
        <f t="shared" si="2"/>
        <v>31501</v>
      </c>
      <c r="E16" s="34">
        <f t="shared" si="3"/>
        <v>65.65991329</v>
      </c>
      <c r="F16" s="35">
        <f t="shared" si="4"/>
        <v>1369.608696</v>
      </c>
      <c r="G16" s="96"/>
      <c r="H16" s="12">
        <v>27.0</v>
      </c>
      <c r="I16" s="12">
        <v>25.0</v>
      </c>
      <c r="J16" s="36">
        <f>600*K16</f>
        <v>13800</v>
      </c>
      <c r="K16" s="12">
        <v>23.0</v>
      </c>
      <c r="L16" s="69">
        <f t="shared" si="5"/>
        <v>2675</v>
      </c>
      <c r="M16" s="68"/>
      <c r="N16" s="68"/>
      <c r="O16" s="68"/>
      <c r="P16" s="39">
        <f t="shared" si="7"/>
        <v>0</v>
      </c>
      <c r="Q16" s="70">
        <f t="shared" si="8"/>
        <v>92.59259259</v>
      </c>
      <c r="R16" s="149"/>
      <c r="S16" s="150"/>
      <c r="T16" s="150"/>
      <c r="U16" s="3"/>
      <c r="V16" s="3"/>
      <c r="W16" s="3"/>
      <c r="X16" s="3"/>
      <c r="Y16" s="3"/>
      <c r="Z16" s="3"/>
    </row>
    <row r="17">
      <c r="A17" s="7" t="s">
        <v>81</v>
      </c>
      <c r="B17" s="12">
        <v>22685.0</v>
      </c>
      <c r="C17" s="94">
        <f t="shared" si="1"/>
        <v>9552</v>
      </c>
      <c r="D17" s="95">
        <f t="shared" si="2"/>
        <v>13133</v>
      </c>
      <c r="E17" s="34">
        <f t="shared" si="3"/>
        <v>57.89288076</v>
      </c>
      <c r="F17" s="35">
        <f t="shared" si="4"/>
        <v>820.8125</v>
      </c>
      <c r="G17" s="96"/>
      <c r="H17" s="12">
        <v>17.0</v>
      </c>
      <c r="I17" s="12">
        <v>16.0</v>
      </c>
      <c r="J17" s="36">
        <f>490*K17</f>
        <v>7840</v>
      </c>
      <c r="K17" s="12">
        <v>16.0</v>
      </c>
      <c r="L17" s="69">
        <f t="shared" si="5"/>
        <v>1712</v>
      </c>
      <c r="M17" s="12">
        <f t="shared" ref="M17:M20" si="12">I17-K17-N17</f>
        <v>0</v>
      </c>
      <c r="N17" s="68"/>
      <c r="O17" s="68"/>
      <c r="P17" s="39">
        <f t="shared" si="7"/>
        <v>0</v>
      </c>
      <c r="Q17" s="70">
        <f t="shared" si="8"/>
        <v>94.11764706</v>
      </c>
      <c r="R17" s="40">
        <f t="shared" ref="R17:R20" si="13">K17/I17*100</f>
        <v>100</v>
      </c>
      <c r="S17" s="35">
        <f t="shared" ref="S17:S20" si="14">G17/K17</f>
        <v>0</v>
      </c>
      <c r="T17" s="35">
        <f t="shared" ref="T17:T20" si="15">100-Q17</f>
        <v>5.882352941</v>
      </c>
      <c r="U17" s="3"/>
      <c r="V17" s="3"/>
      <c r="W17" s="3"/>
      <c r="X17" s="3"/>
      <c r="Y17" s="3"/>
      <c r="Z17" s="3"/>
    </row>
    <row r="18">
      <c r="A18" s="7" t="s">
        <v>82</v>
      </c>
      <c r="B18" s="12">
        <v>111247.0</v>
      </c>
      <c r="C18" s="94">
        <f t="shared" si="1"/>
        <v>45134</v>
      </c>
      <c r="D18" s="95">
        <f t="shared" si="2"/>
        <v>66113</v>
      </c>
      <c r="E18" s="34">
        <f t="shared" si="3"/>
        <v>59.42901831</v>
      </c>
      <c r="F18" s="35">
        <f t="shared" si="4"/>
        <v>1202.054545</v>
      </c>
      <c r="G18" s="96"/>
      <c r="H18" s="12">
        <v>65.0</v>
      </c>
      <c r="I18" s="12">
        <v>62.0</v>
      </c>
      <c r="J18" s="36">
        <f>K18*700</f>
        <v>38500</v>
      </c>
      <c r="K18" s="12">
        <v>55.0</v>
      </c>
      <c r="L18" s="69">
        <f t="shared" si="5"/>
        <v>6634</v>
      </c>
      <c r="M18" s="12">
        <f t="shared" si="12"/>
        <v>7</v>
      </c>
      <c r="N18" s="68"/>
      <c r="O18" s="68"/>
      <c r="P18" s="39">
        <f t="shared" si="7"/>
        <v>11.29032258</v>
      </c>
      <c r="Q18" s="70">
        <f t="shared" si="8"/>
        <v>95.38461538</v>
      </c>
      <c r="R18" s="40">
        <f t="shared" si="13"/>
        <v>88.70967742</v>
      </c>
      <c r="S18" s="35">
        <f t="shared" si="14"/>
        <v>0</v>
      </c>
      <c r="T18" s="35">
        <f t="shared" si="15"/>
        <v>4.615384615</v>
      </c>
      <c r="U18" s="3"/>
      <c r="V18" s="3"/>
      <c r="W18" s="3"/>
      <c r="X18" s="3"/>
      <c r="Y18" s="3"/>
      <c r="Z18" s="3"/>
    </row>
    <row r="19">
      <c r="A19" s="7" t="s">
        <v>83</v>
      </c>
      <c r="B19" s="12">
        <v>53165.0</v>
      </c>
      <c r="C19" s="94">
        <f t="shared" si="1"/>
        <v>23316</v>
      </c>
      <c r="D19" s="95">
        <f t="shared" si="2"/>
        <v>29849</v>
      </c>
      <c r="E19" s="34">
        <f t="shared" si="3"/>
        <v>56.14407975</v>
      </c>
      <c r="F19" s="35">
        <f t="shared" si="4"/>
        <v>852.8285714</v>
      </c>
      <c r="G19" s="96"/>
      <c r="H19" s="12">
        <v>39.0</v>
      </c>
      <c r="I19" s="12">
        <v>38.0</v>
      </c>
      <c r="J19" s="36">
        <f>K19*550</f>
        <v>19250</v>
      </c>
      <c r="K19" s="12">
        <v>35.0</v>
      </c>
      <c r="L19" s="69">
        <f t="shared" si="5"/>
        <v>4066</v>
      </c>
      <c r="M19" s="12">
        <f t="shared" si="12"/>
        <v>3</v>
      </c>
      <c r="N19" s="68"/>
      <c r="O19" s="68"/>
      <c r="P19" s="39">
        <f t="shared" si="7"/>
        <v>7.894736842</v>
      </c>
      <c r="Q19" s="70">
        <f t="shared" si="8"/>
        <v>97.43589744</v>
      </c>
      <c r="R19" s="40">
        <f t="shared" si="13"/>
        <v>92.10526316</v>
      </c>
      <c r="S19" s="35">
        <f t="shared" si="14"/>
        <v>0</v>
      </c>
      <c r="T19" s="35">
        <f t="shared" si="15"/>
        <v>2.564102564</v>
      </c>
      <c r="U19" s="3"/>
      <c r="V19" s="3"/>
      <c r="W19" s="3"/>
      <c r="X19" s="3"/>
      <c r="Y19" s="3"/>
      <c r="Z19" s="3"/>
    </row>
    <row r="20">
      <c r="A20" s="7" t="s">
        <v>91</v>
      </c>
      <c r="B20" s="12">
        <v>125662.0</v>
      </c>
      <c r="C20" s="94">
        <f t="shared" si="1"/>
        <v>58293</v>
      </c>
      <c r="D20" s="95">
        <f t="shared" si="2"/>
        <v>67369</v>
      </c>
      <c r="E20" s="34">
        <f t="shared" si="3"/>
        <v>53.61127469</v>
      </c>
      <c r="F20" s="35">
        <f t="shared" si="4"/>
        <v>364.1567568</v>
      </c>
      <c r="G20" s="96"/>
      <c r="H20" s="12">
        <v>205.0</v>
      </c>
      <c r="I20" s="12">
        <v>199.0</v>
      </c>
      <c r="J20" s="36">
        <f>K20*200</f>
        <v>37000</v>
      </c>
      <c r="K20" s="12">
        <v>185.0</v>
      </c>
      <c r="L20" s="69">
        <f t="shared" si="5"/>
        <v>21293</v>
      </c>
      <c r="M20" s="12">
        <f t="shared" si="12"/>
        <v>9</v>
      </c>
      <c r="N20" s="12">
        <v>5.0</v>
      </c>
      <c r="O20" s="12">
        <v>2500.0</v>
      </c>
      <c r="P20" s="39">
        <f t="shared" si="7"/>
        <v>4.522613065</v>
      </c>
      <c r="Q20" s="70">
        <f t="shared" si="8"/>
        <v>97.07317073</v>
      </c>
      <c r="R20" s="40">
        <f t="shared" si="13"/>
        <v>92.96482412</v>
      </c>
      <c r="S20" s="35">
        <f t="shared" si="14"/>
        <v>0</v>
      </c>
      <c r="T20" s="35">
        <f t="shared" si="15"/>
        <v>2.926829268</v>
      </c>
      <c r="U20" s="3"/>
      <c r="V20" s="3"/>
      <c r="W20" s="3"/>
      <c r="X20" s="3"/>
      <c r="Y20" s="3"/>
      <c r="Z20" s="3"/>
    </row>
    <row r="21">
      <c r="A21" s="108" t="s">
        <v>62</v>
      </c>
      <c r="B21" s="151">
        <f>SUM(B4:B20)+56686+600000</f>
        <v>7367661</v>
      </c>
      <c r="C21" s="151">
        <f>SUM(C4:C20)+G21</f>
        <v>6897936.4</v>
      </c>
      <c r="D21" s="151">
        <f t="shared" si="2"/>
        <v>469724.6</v>
      </c>
      <c r="E21" s="152"/>
      <c r="F21" s="152"/>
      <c r="G21" s="151">
        <f>3213630*1.18</f>
        <v>3792083.4</v>
      </c>
      <c r="H21" s="151">
        <f t="shared" ref="H21:I21" si="16">SUM(H4:H20)</f>
        <v>5727</v>
      </c>
      <c r="I21" s="151">
        <f t="shared" si="16"/>
        <v>5499</v>
      </c>
      <c r="J21" s="151">
        <f>SUM(J4:J20)+185000</f>
        <v>2702460</v>
      </c>
      <c r="K21" s="151">
        <f>SUM(K4:K20)+190</f>
        <v>4974</v>
      </c>
      <c r="L21" s="151">
        <f t="shared" ref="L21:N21" si="17">SUM(L4:L20)</f>
        <v>588393</v>
      </c>
      <c r="M21" s="151">
        <f t="shared" si="17"/>
        <v>344</v>
      </c>
      <c r="N21" s="151">
        <f t="shared" si="17"/>
        <v>369</v>
      </c>
      <c r="O21" s="151">
        <v>718336.0</v>
      </c>
      <c r="P21" s="78"/>
      <c r="Q21" s="78"/>
      <c r="R21" s="78"/>
      <c r="S21" s="153">
        <f>SUM(S4:S20)</f>
        <v>0</v>
      </c>
      <c r="T21" s="78"/>
      <c r="U21" s="78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6" t="s">
        <v>1</v>
      </c>
      <c r="B24" s="3"/>
      <c r="C24" s="3"/>
      <c r="D24" s="46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2" t="s">
        <v>32</v>
      </c>
      <c r="B25" s="103">
        <f>B21</f>
        <v>7367661</v>
      </c>
      <c r="C25" s="3"/>
      <c r="D25" s="145" t="s">
        <v>50</v>
      </c>
      <c r="E25" s="146">
        <f>B26/K21</f>
        <v>543.3172497</v>
      </c>
      <c r="F25" s="80"/>
      <c r="G25" s="80"/>
      <c r="H25" s="141"/>
      <c r="I25" s="8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2" t="s">
        <v>50</v>
      </c>
      <c r="B26" s="103">
        <f>J21</f>
        <v>2702460</v>
      </c>
      <c r="C26" s="3"/>
      <c r="D26" s="145" t="s">
        <v>35</v>
      </c>
      <c r="E26" s="146">
        <f>B28/K21</f>
        <v>762.3810615</v>
      </c>
      <c r="F26" s="80"/>
      <c r="G26" s="80"/>
      <c r="H26" s="141"/>
      <c r="I26" s="8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2" t="s">
        <v>51</v>
      </c>
      <c r="B27" s="103">
        <f>L21</f>
        <v>588393</v>
      </c>
      <c r="C27" s="3"/>
      <c r="D27" s="145" t="s">
        <v>51</v>
      </c>
      <c r="E27" s="146">
        <f>L21/I21</f>
        <v>107</v>
      </c>
      <c r="F27" s="80"/>
      <c r="G27" s="80"/>
      <c r="H27" s="141"/>
      <c r="I27" s="8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2" t="s">
        <v>52</v>
      </c>
      <c r="B28" s="106">
        <f>G21</f>
        <v>3792083.4</v>
      </c>
      <c r="C28" s="3"/>
      <c r="D28" s="145" t="s">
        <v>33</v>
      </c>
      <c r="E28" s="146">
        <f>B21/K21</f>
        <v>1481.23462</v>
      </c>
      <c r="F28" s="80"/>
      <c r="G28" s="80"/>
      <c r="H28" s="154"/>
      <c r="I28" s="8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2" t="s">
        <v>64</v>
      </c>
      <c r="B29" s="106">
        <f>B25-(B26+B27+B28)</f>
        <v>284724.6</v>
      </c>
      <c r="C29" s="3"/>
      <c r="D29" s="3"/>
      <c r="E29" s="3"/>
      <c r="F29" s="80"/>
      <c r="G29" s="80"/>
      <c r="H29" s="80"/>
      <c r="I29" s="8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2" t="s">
        <v>38</v>
      </c>
      <c r="B30" s="106">
        <f>B29/B25*100</f>
        <v>3.864518196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92" t="s">
        <v>88</v>
      </c>
      <c r="B36" s="93" t="s">
        <v>39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4" t="s">
        <v>45</v>
      </c>
      <c r="B38" s="108" t="s">
        <v>3</v>
      </c>
      <c r="C38" s="108" t="s">
        <v>4</v>
      </c>
      <c r="D38" s="108" t="s">
        <v>5</v>
      </c>
      <c r="E38" s="109" t="s">
        <v>6</v>
      </c>
      <c r="F38" s="108" t="s">
        <v>7</v>
      </c>
      <c r="G38" s="108" t="s">
        <v>9</v>
      </c>
      <c r="H38" s="108" t="s">
        <v>11</v>
      </c>
      <c r="I38" s="108" t="s">
        <v>12</v>
      </c>
      <c r="J38" s="108" t="s">
        <v>42</v>
      </c>
      <c r="K38" s="108" t="s">
        <v>43</v>
      </c>
      <c r="L38" s="109" t="s">
        <v>15</v>
      </c>
      <c r="M38" s="108" t="s">
        <v>53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0" t="s">
        <v>24</v>
      </c>
      <c r="B39" s="111">
        <f>774799.73+2586.57+7533.24</f>
        <v>784919.54</v>
      </c>
      <c r="C39" s="112">
        <f t="shared" ref="C39:C53" si="18">K39+H39</f>
        <v>479130.55</v>
      </c>
      <c r="D39" s="113">
        <f t="shared" ref="D39:D53" si="19">B39-C39</f>
        <v>305788.99</v>
      </c>
      <c r="E39" s="34">
        <f t="shared" ref="E39:E53" si="20">D39/B39*100</f>
        <v>38.95800454</v>
      </c>
      <c r="F39" s="114">
        <f t="shared" ref="F39:F53" si="21">D39/I39</f>
        <v>358.9072653</v>
      </c>
      <c r="G39" s="115">
        <f>927+5</f>
        <v>932</v>
      </c>
      <c r="H39" s="36">
        <f>270*I39</f>
        <v>230040</v>
      </c>
      <c r="I39" s="116">
        <f>848+4</f>
        <v>852</v>
      </c>
      <c r="J39" s="36">
        <f t="shared" ref="J39:J53" si="22">G39-I39</f>
        <v>80</v>
      </c>
      <c r="K39" s="117">
        <f>244546.73+2437.06+2106.76</f>
        <v>249090.55</v>
      </c>
      <c r="L39" s="118">
        <f t="shared" ref="L39:L53" si="23">J39/G39*100</f>
        <v>8.583690987</v>
      </c>
      <c r="M39" s="155">
        <f>2028.55+144689.51+830.49</f>
        <v>147548.55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0" t="s">
        <v>25</v>
      </c>
      <c r="B40" s="111">
        <f>25447.63+731732.82</f>
        <v>757180.45</v>
      </c>
      <c r="C40" s="112">
        <f t="shared" si="18"/>
        <v>374616.8</v>
      </c>
      <c r="D40" s="113">
        <f t="shared" si="19"/>
        <v>382563.65</v>
      </c>
      <c r="E40" s="34">
        <f t="shared" si="20"/>
        <v>50.52476593</v>
      </c>
      <c r="F40" s="114">
        <f t="shared" si="21"/>
        <v>534.3067737</v>
      </c>
      <c r="G40" s="115">
        <f>752+27</f>
        <v>779</v>
      </c>
      <c r="H40" s="36">
        <f>350*I40</f>
        <v>250600</v>
      </c>
      <c r="I40" s="116">
        <f>23+693</f>
        <v>716</v>
      </c>
      <c r="J40" s="36">
        <f t="shared" si="22"/>
        <v>63</v>
      </c>
      <c r="K40" s="117">
        <f>114949.47+9067.33</f>
        <v>124016.8</v>
      </c>
      <c r="L40" s="118">
        <f t="shared" si="23"/>
        <v>8.087291399</v>
      </c>
      <c r="M40" s="155">
        <f>4621.01</f>
        <v>4621.01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0" t="s">
        <v>26</v>
      </c>
      <c r="B41" s="111">
        <f>131275.27</f>
        <v>131275.27</v>
      </c>
      <c r="C41" s="112">
        <f t="shared" si="18"/>
        <v>99478.45</v>
      </c>
      <c r="D41" s="113">
        <f t="shared" si="19"/>
        <v>31796.82</v>
      </c>
      <c r="E41" s="34">
        <f t="shared" si="20"/>
        <v>24.22148513</v>
      </c>
      <c r="F41" s="114">
        <f t="shared" si="21"/>
        <v>369.7304651</v>
      </c>
      <c r="G41" s="115">
        <v>104.0</v>
      </c>
      <c r="H41" s="36">
        <f> 900*I41</f>
        <v>77400</v>
      </c>
      <c r="I41" s="116">
        <v>86.0</v>
      </c>
      <c r="J41" s="36">
        <f t="shared" si="22"/>
        <v>18</v>
      </c>
      <c r="K41" s="117">
        <f>22078.45 
</f>
        <v>22078.45</v>
      </c>
      <c r="L41" s="118">
        <f t="shared" si="23"/>
        <v>17.30769231</v>
      </c>
      <c r="M41" s="155">
        <v>0.0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0" t="s">
        <v>27</v>
      </c>
      <c r="B42" s="111">
        <f>309493.18+644.63+18159.53</f>
        <v>328297.34</v>
      </c>
      <c r="C42" s="112">
        <f t="shared" si="18"/>
        <v>275366.95</v>
      </c>
      <c r="D42" s="113">
        <f t="shared" si="19"/>
        <v>52930.39</v>
      </c>
      <c r="E42" s="34">
        <f t="shared" si="20"/>
        <v>16.12269841</v>
      </c>
      <c r="F42" s="114">
        <f t="shared" si="21"/>
        <v>73.20939142</v>
      </c>
      <c r="G42" s="115">
        <f>713+58</f>
        <v>771</v>
      </c>
      <c r="H42" s="36">
        <f>220*I42</f>
        <v>159060</v>
      </c>
      <c r="I42" s="116">
        <f>675+48</f>
        <v>723</v>
      </c>
      <c r="J42" s="36">
        <f t="shared" si="22"/>
        <v>48</v>
      </c>
      <c r="K42" s="117">
        <f>107221.89+9085.06</f>
        <v>116306.95</v>
      </c>
      <c r="L42" s="118">
        <f t="shared" si="23"/>
        <v>6.225680934</v>
      </c>
      <c r="M42" s="155">
        <f>62282.3+6270.05</f>
        <v>68552.35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0" t="s">
        <v>28</v>
      </c>
      <c r="B43" s="111">
        <f>23911.98</f>
        <v>23911.98</v>
      </c>
      <c r="C43" s="112">
        <f t="shared" si="18"/>
        <v>23866.91</v>
      </c>
      <c r="D43" s="113">
        <f t="shared" si="19"/>
        <v>45.07</v>
      </c>
      <c r="E43" s="34">
        <f t="shared" si="20"/>
        <v>0.1884829278</v>
      </c>
      <c r="F43" s="114">
        <f t="shared" si="21"/>
        <v>1.959565217</v>
      </c>
      <c r="G43" s="115">
        <v>24.0</v>
      </c>
      <c r="H43" s="36">
        <f>270*I43</f>
        <v>6210</v>
      </c>
      <c r="I43" s="116">
        <v>23.0</v>
      </c>
      <c r="J43" s="36">
        <f t="shared" si="22"/>
        <v>1</v>
      </c>
      <c r="K43" s="117">
        <f>17656.91 </f>
        <v>17656.91</v>
      </c>
      <c r="L43" s="118">
        <f t="shared" si="23"/>
        <v>4.166666667</v>
      </c>
      <c r="M43" s="155">
        <f>15908.46</f>
        <v>15908.46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0" t="s">
        <v>29</v>
      </c>
      <c r="B44" s="111">
        <f>388750.54-1499</f>
        <v>387251.54</v>
      </c>
      <c r="C44" s="112">
        <f t="shared" si="18"/>
        <v>236117.37</v>
      </c>
      <c r="D44" s="113">
        <f t="shared" si="19"/>
        <v>151134.17</v>
      </c>
      <c r="E44" s="34">
        <f t="shared" si="20"/>
        <v>39.02739031</v>
      </c>
      <c r="F44" s="114">
        <f t="shared" si="21"/>
        <v>390.5275711</v>
      </c>
      <c r="G44" s="115">
        <v>423.0</v>
      </c>
      <c r="H44" s="36">
        <f>320*I44</f>
        <v>123840</v>
      </c>
      <c r="I44" s="116">
        <v>387.0</v>
      </c>
      <c r="J44" s="36">
        <f t="shared" si="22"/>
        <v>36</v>
      </c>
      <c r="K44" s="117">
        <f>111889.84 
+387.53 
</f>
        <v>112277.37</v>
      </c>
      <c r="L44" s="118">
        <f t="shared" si="23"/>
        <v>8.510638298</v>
      </c>
      <c r="M44" s="97">
        <v>46376.68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0" t="s">
        <v>30</v>
      </c>
      <c r="B45" s="111">
        <f>133387.38</f>
        <v>133387.38</v>
      </c>
      <c r="C45" s="112">
        <f t="shared" si="18"/>
        <v>99625.65</v>
      </c>
      <c r="D45" s="113">
        <f t="shared" si="19"/>
        <v>33761.73</v>
      </c>
      <c r="E45" s="34">
        <f t="shared" si="20"/>
        <v>25.31103767</v>
      </c>
      <c r="F45" s="114">
        <f t="shared" si="21"/>
        <v>304.1597297</v>
      </c>
      <c r="G45" s="115">
        <v>125.0</v>
      </c>
      <c r="H45" s="36">
        <f>500*I45</f>
        <v>55500</v>
      </c>
      <c r="I45" s="116">
        <v>111.0</v>
      </c>
      <c r="J45" s="36">
        <f t="shared" si="22"/>
        <v>14</v>
      </c>
      <c r="K45" s="117">
        <f>44125.65 
</f>
        <v>44125.65</v>
      </c>
      <c r="L45" s="118">
        <f t="shared" si="23"/>
        <v>11.2</v>
      </c>
      <c r="M45" s="155">
        <f>23023.68</f>
        <v>23023.68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0" t="s">
        <v>31</v>
      </c>
      <c r="B46" s="111">
        <f>220488.17</f>
        <v>220488.17</v>
      </c>
      <c r="C46" s="112">
        <f t="shared" si="18"/>
        <v>152282.19</v>
      </c>
      <c r="D46" s="113">
        <f t="shared" si="19"/>
        <v>68205.98</v>
      </c>
      <c r="E46" s="34">
        <f t="shared" si="20"/>
        <v>30.93407687</v>
      </c>
      <c r="F46" s="114">
        <f t="shared" si="21"/>
        <v>537.0549606</v>
      </c>
      <c r="G46" s="115">
        <v>135.0</v>
      </c>
      <c r="H46" s="36">
        <f>700*I46</f>
        <v>88900</v>
      </c>
      <c r="I46" s="116">
        <v>127.0</v>
      </c>
      <c r="J46" s="36">
        <f t="shared" si="22"/>
        <v>8</v>
      </c>
      <c r="K46" s="117">
        <f>63382.19 
</f>
        <v>63382.19</v>
      </c>
      <c r="L46" s="118">
        <f t="shared" si="23"/>
        <v>5.925925926</v>
      </c>
      <c r="M46" s="155">
        <f>34104.43</f>
        <v>34104.43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0" t="s">
        <v>78</v>
      </c>
      <c r="B47" s="111">
        <f>618153.21</f>
        <v>618153.21</v>
      </c>
      <c r="C47" s="112">
        <f t="shared" si="18"/>
        <v>424343.15</v>
      </c>
      <c r="D47" s="113">
        <f t="shared" si="19"/>
        <v>193810.06</v>
      </c>
      <c r="E47" s="34">
        <f t="shared" si="20"/>
        <v>31.35307831</v>
      </c>
      <c r="F47" s="114">
        <f t="shared" si="21"/>
        <v>576.8156548</v>
      </c>
      <c r="G47" s="115">
        <v>361.0</v>
      </c>
      <c r="H47" s="36">
        <f>1000*I47</f>
        <v>336000</v>
      </c>
      <c r="I47" s="116">
        <v>336.0</v>
      </c>
      <c r="J47" s="36">
        <f t="shared" si="22"/>
        <v>25</v>
      </c>
      <c r="K47" s="117">
        <f>88343.15 
</f>
        <v>88343.15</v>
      </c>
      <c r="L47" s="118">
        <f t="shared" si="23"/>
        <v>6.925207756</v>
      </c>
      <c r="M47" s="155">
        <f>1814.72</f>
        <v>1814.72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0" t="s">
        <v>92</v>
      </c>
      <c r="B48" s="111">
        <f>60000</f>
        <v>60000</v>
      </c>
      <c r="C48" s="112">
        <f t="shared" si="18"/>
        <v>43906.81</v>
      </c>
      <c r="D48" s="113">
        <f t="shared" si="19"/>
        <v>16093.19</v>
      </c>
      <c r="E48" s="34">
        <f t="shared" si="20"/>
        <v>26.82198333</v>
      </c>
      <c r="F48" s="114">
        <f t="shared" si="21"/>
        <v>153.2684762</v>
      </c>
      <c r="G48" s="115">
        <v>112.0</v>
      </c>
      <c r="H48" s="36">
        <f>200*I48</f>
        <v>21000</v>
      </c>
      <c r="I48" s="116">
        <v>105.0</v>
      </c>
      <c r="J48" s="36">
        <f t="shared" si="22"/>
        <v>7</v>
      </c>
      <c r="K48" s="117">
        <f>22906.81</f>
        <v>22906.81</v>
      </c>
      <c r="L48" s="118">
        <f t="shared" si="23"/>
        <v>6.25</v>
      </c>
      <c r="M48" s="155">
        <f>13538.71</f>
        <v>13538.71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0" t="s">
        <v>93</v>
      </c>
      <c r="B49" s="111">
        <f>33180.35</f>
        <v>33180.35</v>
      </c>
      <c r="C49" s="112">
        <f t="shared" si="18"/>
        <v>23014.72</v>
      </c>
      <c r="D49" s="113">
        <f t="shared" si="19"/>
        <v>10165.63</v>
      </c>
      <c r="E49" s="34">
        <f t="shared" si="20"/>
        <v>30.63750081</v>
      </c>
      <c r="F49" s="114">
        <f t="shared" si="21"/>
        <v>363.0582143</v>
      </c>
      <c r="G49" s="115">
        <v>30.0</v>
      </c>
      <c r="H49" s="36">
        <f>(270+220)*I49</f>
        <v>13720</v>
      </c>
      <c r="I49" s="116">
        <v>28.0</v>
      </c>
      <c r="J49" s="36">
        <f t="shared" si="22"/>
        <v>2</v>
      </c>
      <c r="K49" s="117">
        <f>9294.72</f>
        <v>9294.72</v>
      </c>
      <c r="L49" s="118">
        <f t="shared" si="23"/>
        <v>6.666666667</v>
      </c>
      <c r="M49" s="155">
        <f>4336.25</f>
        <v>4336.25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0" t="s">
        <v>94</v>
      </c>
      <c r="B50" s="111">
        <f>7775.5</f>
        <v>7775.5</v>
      </c>
      <c r="C50" s="112">
        <f t="shared" si="18"/>
        <v>7426.96</v>
      </c>
      <c r="D50" s="113">
        <f t="shared" si="19"/>
        <v>348.54</v>
      </c>
      <c r="E50" s="34">
        <f t="shared" si="20"/>
        <v>4.482541316</v>
      </c>
      <c r="F50" s="114">
        <f t="shared" si="21"/>
        <v>69.708</v>
      </c>
      <c r="G50" s="115">
        <v>6.0</v>
      </c>
      <c r="H50" s="36">
        <f>(270+350)*I50</f>
        <v>3100</v>
      </c>
      <c r="I50" s="116">
        <v>5.0</v>
      </c>
      <c r="J50" s="36">
        <f t="shared" si="22"/>
        <v>1</v>
      </c>
      <c r="K50" s="117">
        <f>4326.96 
</f>
        <v>4326.96</v>
      </c>
      <c r="L50" s="118">
        <f t="shared" si="23"/>
        <v>16.66666667</v>
      </c>
      <c r="M50" s="155">
        <f>1783.91</f>
        <v>1783.91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0" t="s">
        <v>95</v>
      </c>
      <c r="B51" s="111">
        <f>19790</f>
        <v>19790</v>
      </c>
      <c r="C51" s="112">
        <f t="shared" si="18"/>
        <v>10894.05</v>
      </c>
      <c r="D51" s="113">
        <f t="shared" si="19"/>
        <v>8895.95</v>
      </c>
      <c r="E51" s="34">
        <f t="shared" si="20"/>
        <v>44.9517433</v>
      </c>
      <c r="F51" s="114">
        <f t="shared" si="21"/>
        <v>808.7227273</v>
      </c>
      <c r="G51" s="115">
        <v>11.0</v>
      </c>
      <c r="H51" s="36">
        <f>(270+320)*I51</f>
        <v>6490</v>
      </c>
      <c r="I51" s="116">
        <v>11.0</v>
      </c>
      <c r="J51" s="36">
        <f t="shared" si="22"/>
        <v>0</v>
      </c>
      <c r="K51" s="117">
        <f>4404.05 
</f>
        <v>4404.05</v>
      </c>
      <c r="L51" s="118">
        <f t="shared" si="23"/>
        <v>0</v>
      </c>
      <c r="M51" s="155">
        <f>1983.91</f>
        <v>1983.91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0" t="s">
        <v>96</v>
      </c>
      <c r="B52" s="111">
        <f>46785.95</f>
        <v>46785.95</v>
      </c>
      <c r="C52" s="112">
        <f t="shared" si="18"/>
        <v>32743.86</v>
      </c>
      <c r="D52" s="113">
        <f t="shared" si="19"/>
        <v>14042.09</v>
      </c>
      <c r="E52" s="34">
        <f t="shared" si="20"/>
        <v>30.01347627</v>
      </c>
      <c r="F52" s="114">
        <f t="shared" si="21"/>
        <v>390.0580556</v>
      </c>
      <c r="G52" s="115">
        <v>37.0</v>
      </c>
      <c r="H52" s="36">
        <f>(350+220)*I52</f>
        <v>20520</v>
      </c>
      <c r="I52" s="116">
        <v>36.0</v>
      </c>
      <c r="J52" s="36">
        <f t="shared" si="22"/>
        <v>1</v>
      </c>
      <c r="K52" s="117">
        <f>12223.86 
</f>
        <v>12223.86</v>
      </c>
      <c r="L52" s="118">
        <f t="shared" si="23"/>
        <v>2.702702703</v>
      </c>
      <c r="M52" s="155">
        <f>5537.85</f>
        <v>5537.85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0" t="s">
        <v>97</v>
      </c>
      <c r="B53" s="111">
        <f>65238.99</f>
        <v>65238.99</v>
      </c>
      <c r="C53" s="112">
        <f t="shared" si="18"/>
        <v>35046.8</v>
      </c>
      <c r="D53" s="113">
        <f t="shared" si="19"/>
        <v>30192.19</v>
      </c>
      <c r="E53" s="34">
        <f t="shared" si="20"/>
        <v>46.27936453</v>
      </c>
      <c r="F53" s="114">
        <f t="shared" si="21"/>
        <v>862.634</v>
      </c>
      <c r="G53" s="115">
        <v>37.0</v>
      </c>
      <c r="H53" s="36">
        <f>(350+320)*I53</f>
        <v>23450</v>
      </c>
      <c r="I53" s="116">
        <v>35.0</v>
      </c>
      <c r="J53" s="36">
        <f t="shared" si="22"/>
        <v>2</v>
      </c>
      <c r="K53" s="117">
        <f>11596.8</f>
        <v>11596.8</v>
      </c>
      <c r="L53" s="118">
        <f t="shared" si="23"/>
        <v>5.405405405</v>
      </c>
      <c r="M53" s="155">
        <f>3523.84</f>
        <v>3523.84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62</v>
      </c>
      <c r="B54" s="45">
        <f t="shared" ref="B54:D54" si="24">SUM(B37:B53)</f>
        <v>3617635.67</v>
      </c>
      <c r="C54" s="45">
        <f t="shared" si="24"/>
        <v>2317861.22</v>
      </c>
      <c r="D54" s="45">
        <f t="shared" si="24"/>
        <v>1299774.45</v>
      </c>
      <c r="E54" s="3"/>
      <c r="F54" s="3"/>
      <c r="G54" s="3"/>
      <c r="H54" s="45">
        <f>SUM(H37:H53)</f>
        <v>1415830</v>
      </c>
      <c r="I54" s="45">
        <f>SUM(I39:I53)</f>
        <v>3581</v>
      </c>
      <c r="J54" s="45">
        <f t="shared" ref="J54:K54" si="25">SUM(J37:J53)</f>
        <v>306</v>
      </c>
      <c r="K54" s="45">
        <f t="shared" si="25"/>
        <v>902031.22</v>
      </c>
      <c r="L54" s="156">
        <f>AVERAGE(L39:L53)</f>
        <v>7.641615714</v>
      </c>
      <c r="M54" s="45">
        <f>SUM(M37:M53)</f>
        <v>372654.35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2" t="s">
        <v>32</v>
      </c>
      <c r="B57" s="106">
        <f>B54</f>
        <v>3617635.67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2" t="s">
        <v>50</v>
      </c>
      <c r="B58" s="106">
        <f>H54</f>
        <v>1415830</v>
      </c>
      <c r="C58" s="3"/>
      <c r="D58" s="46" t="s">
        <v>63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2" t="s">
        <v>54</v>
      </c>
      <c r="B59" s="106">
        <f>K54-M54</f>
        <v>529376.87</v>
      </c>
      <c r="C59" s="3"/>
      <c r="D59" s="145" t="s">
        <v>50</v>
      </c>
      <c r="E59" s="146">
        <f>B58/I54</f>
        <v>395.3728009</v>
      </c>
      <c r="F59" s="83">
        <v>0.39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2" t="s">
        <v>52</v>
      </c>
      <c r="B60" s="106">
        <f>M54</f>
        <v>372654.35</v>
      </c>
      <c r="C60" s="3"/>
      <c r="D60" s="145" t="s">
        <v>35</v>
      </c>
      <c r="E60" s="146">
        <f>B60/I54</f>
        <v>104.0643256</v>
      </c>
      <c r="F60" s="83">
        <v>0.1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2" t="s">
        <v>36</v>
      </c>
      <c r="B61" s="106">
        <f>B57-SUM(B58:B60)</f>
        <v>1299774.45</v>
      </c>
      <c r="C61" s="3"/>
      <c r="D61" s="145" t="s">
        <v>84</v>
      </c>
      <c r="E61" s="146">
        <f>B59/I54</f>
        <v>147.829341</v>
      </c>
      <c r="F61" s="157">
        <v>0.146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2" t="s">
        <v>38</v>
      </c>
      <c r="B62" s="120">
        <f>B61/B57*100</f>
        <v>35.92883774</v>
      </c>
      <c r="C62" s="3"/>
      <c r="D62" s="145" t="s">
        <v>33</v>
      </c>
      <c r="E62" s="146">
        <f>B57/I54</f>
        <v>1010.23057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92" t="s">
        <v>88</v>
      </c>
      <c r="B68" s="93" t="s">
        <v>66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4" t="s">
        <v>45</v>
      </c>
      <c r="B70" s="108" t="s">
        <v>3</v>
      </c>
      <c r="C70" s="108" t="s">
        <v>4</v>
      </c>
      <c r="D70" s="108" t="s">
        <v>5</v>
      </c>
      <c r="E70" s="109" t="s">
        <v>6</v>
      </c>
      <c r="F70" s="108" t="s">
        <v>7</v>
      </c>
      <c r="G70" s="108" t="s">
        <v>9</v>
      </c>
      <c r="H70" s="108" t="s">
        <v>11</v>
      </c>
      <c r="I70" s="108" t="s">
        <v>12</v>
      </c>
      <c r="J70" s="108" t="s">
        <v>42</v>
      </c>
      <c r="K70" s="108" t="s">
        <v>67</v>
      </c>
      <c r="L70" s="109" t="s">
        <v>15</v>
      </c>
      <c r="M70" s="108" t="s">
        <v>53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0" t="s">
        <v>24</v>
      </c>
      <c r="B71" s="111">
        <f>18617</f>
        <v>18617</v>
      </c>
      <c r="C71" s="112">
        <f t="shared" ref="C71:C81" si="26">K71+H71</f>
        <v>11103.54</v>
      </c>
      <c r="D71" s="113">
        <f t="shared" ref="D71:D81" si="27">B71-C71</f>
        <v>7513.46</v>
      </c>
      <c r="E71" s="34">
        <f t="shared" ref="E71:E81" si="28">D71/B71*100</f>
        <v>40.35805984</v>
      </c>
      <c r="F71" s="114">
        <f t="shared" ref="F71:F76" si="29">D71/I71</f>
        <v>441.9682353</v>
      </c>
      <c r="G71" s="115">
        <v>22.0</v>
      </c>
      <c r="H71" s="36">
        <f>270*I71</f>
        <v>4590</v>
      </c>
      <c r="I71" s="116">
        <v>17.0</v>
      </c>
      <c r="J71" s="36">
        <f t="shared" ref="J71:J81" si="30">G71-I71</f>
        <v>5</v>
      </c>
      <c r="K71" s="117">
        <f>6513.54</f>
        <v>6513.54</v>
      </c>
      <c r="L71" s="118">
        <f t="shared" ref="L71:L72" si="31">J71/G71*100</f>
        <v>22.72727273</v>
      </c>
      <c r="M71" s="155">
        <v>0.0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0" t="s">
        <v>25</v>
      </c>
      <c r="B72" s="111">
        <f>7571</f>
        <v>7571</v>
      </c>
      <c r="C72" s="112">
        <f t="shared" si="26"/>
        <v>4874.87</v>
      </c>
      <c r="D72" s="113">
        <f t="shared" si="27"/>
        <v>2696.13</v>
      </c>
      <c r="E72" s="34">
        <f t="shared" si="28"/>
        <v>35.61127988</v>
      </c>
      <c r="F72" s="114">
        <f t="shared" si="29"/>
        <v>449.355</v>
      </c>
      <c r="G72" s="115">
        <v>12.0</v>
      </c>
      <c r="H72" s="36">
        <f>350*I72</f>
        <v>2100</v>
      </c>
      <c r="I72" s="116">
        <v>6.0</v>
      </c>
      <c r="J72" s="36">
        <f t="shared" si="30"/>
        <v>6</v>
      </c>
      <c r="K72" s="117">
        <f>2774.87</f>
        <v>2774.87</v>
      </c>
      <c r="L72" s="118">
        <f t="shared" si="31"/>
        <v>50</v>
      </c>
      <c r="M72" s="155">
        <v>0.0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10" t="s">
        <v>26</v>
      </c>
      <c r="B73" s="111">
        <f>28160</f>
        <v>28160</v>
      </c>
      <c r="C73" s="112">
        <f t="shared" si="26"/>
        <v>23772.78</v>
      </c>
      <c r="D73" s="113">
        <f t="shared" si="27"/>
        <v>4387.22</v>
      </c>
      <c r="E73" s="34">
        <f t="shared" si="28"/>
        <v>15.57961648</v>
      </c>
      <c r="F73" s="114">
        <f t="shared" si="29"/>
        <v>292.4813333</v>
      </c>
      <c r="G73" s="115">
        <v>16.0</v>
      </c>
      <c r="H73" s="36">
        <f> 980*I73</f>
        <v>14700</v>
      </c>
      <c r="I73" s="116">
        <v>15.0</v>
      </c>
      <c r="J73" s="36">
        <f t="shared" si="30"/>
        <v>1</v>
      </c>
      <c r="K73" s="117">
        <f>9072.78</f>
        <v>9072.78</v>
      </c>
      <c r="L73" s="118">
        <v>0.0</v>
      </c>
      <c r="M73" s="155">
        <v>0.0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10" t="s">
        <v>27</v>
      </c>
      <c r="B74" s="111">
        <f>17433+1981</f>
        <v>19414</v>
      </c>
      <c r="C74" s="112">
        <f t="shared" si="26"/>
        <v>18354.32</v>
      </c>
      <c r="D74" s="113">
        <f t="shared" si="27"/>
        <v>1059.68</v>
      </c>
      <c r="E74" s="34">
        <f t="shared" si="28"/>
        <v>5.458329041</v>
      </c>
      <c r="F74" s="114">
        <f t="shared" si="29"/>
        <v>32.11151515</v>
      </c>
      <c r="G74" s="115">
        <v>50.0</v>
      </c>
      <c r="H74" s="36">
        <f>220*I74</f>
        <v>7260</v>
      </c>
      <c r="I74" s="116">
        <v>33.0</v>
      </c>
      <c r="J74" s="36">
        <f t="shared" si="30"/>
        <v>17</v>
      </c>
      <c r="K74" s="117">
        <f>10410.88+683.44</f>
        <v>11094.32</v>
      </c>
      <c r="L74" s="118">
        <f t="shared" ref="L74:L81" si="32">J74/G74*100</f>
        <v>34</v>
      </c>
      <c r="M74" s="155">
        <v>0.0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10" t="s">
        <v>28</v>
      </c>
      <c r="B75" s="111">
        <f>6474</f>
        <v>6474</v>
      </c>
      <c r="C75" s="112">
        <f t="shared" si="26"/>
        <v>3760.72</v>
      </c>
      <c r="D75" s="113">
        <f t="shared" si="27"/>
        <v>2713.28</v>
      </c>
      <c r="E75" s="34">
        <f t="shared" si="28"/>
        <v>41.91041087</v>
      </c>
      <c r="F75" s="114">
        <f t="shared" si="29"/>
        <v>452.2133333</v>
      </c>
      <c r="G75" s="115">
        <v>7.0</v>
      </c>
      <c r="H75" s="36">
        <f>270*I75</f>
        <v>1620</v>
      </c>
      <c r="I75" s="116">
        <v>6.0</v>
      </c>
      <c r="J75" s="36">
        <f t="shared" si="30"/>
        <v>1</v>
      </c>
      <c r="K75" s="117">
        <f>2140.72</f>
        <v>2140.72</v>
      </c>
      <c r="L75" s="118">
        <f t="shared" si="32"/>
        <v>14.28571429</v>
      </c>
      <c r="M75" s="155">
        <v>0.0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10" t="s">
        <v>29</v>
      </c>
      <c r="B76" s="111">
        <f>29235</f>
        <v>29235</v>
      </c>
      <c r="C76" s="112">
        <f t="shared" si="26"/>
        <v>18458.85</v>
      </c>
      <c r="D76" s="113">
        <f t="shared" si="27"/>
        <v>10776.15</v>
      </c>
      <c r="E76" s="34">
        <f t="shared" si="28"/>
        <v>36.86044125</v>
      </c>
      <c r="F76" s="114">
        <f t="shared" si="29"/>
        <v>468.5282609</v>
      </c>
      <c r="G76" s="115">
        <v>38.0</v>
      </c>
      <c r="H76" s="36">
        <f>320*I76</f>
        <v>7360</v>
      </c>
      <c r="I76" s="116">
        <v>23.0</v>
      </c>
      <c r="J76" s="36">
        <f t="shared" si="30"/>
        <v>15</v>
      </c>
      <c r="K76" s="117">
        <f>11098.85</f>
        <v>11098.85</v>
      </c>
      <c r="L76" s="118">
        <f t="shared" si="32"/>
        <v>39.47368421</v>
      </c>
      <c r="M76" s="155">
        <v>0.0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10" t="s">
        <v>30</v>
      </c>
      <c r="B77" s="111">
        <f>7164</f>
        <v>7164</v>
      </c>
      <c r="C77" s="112">
        <f t="shared" si="26"/>
        <v>4554.61</v>
      </c>
      <c r="D77" s="113">
        <f t="shared" si="27"/>
        <v>2609.39</v>
      </c>
      <c r="E77" s="34">
        <f t="shared" si="28"/>
        <v>36.42364601</v>
      </c>
      <c r="F77" s="158"/>
      <c r="G77" s="115">
        <v>6.0</v>
      </c>
      <c r="H77" s="36">
        <f>470*I77</f>
        <v>2350</v>
      </c>
      <c r="I77" s="116">
        <v>5.0</v>
      </c>
      <c r="J77" s="36">
        <f t="shared" si="30"/>
        <v>1</v>
      </c>
      <c r="K77" s="117">
        <f>2204.61</f>
        <v>2204.61</v>
      </c>
      <c r="L77" s="118">
        <f t="shared" si="32"/>
        <v>16.66666667</v>
      </c>
      <c r="M77" s="155">
        <v>0.0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0" t="s">
        <v>31</v>
      </c>
      <c r="B78" s="111">
        <f>3798</f>
        <v>3798</v>
      </c>
      <c r="C78" s="112">
        <f t="shared" si="26"/>
        <v>2748.56</v>
      </c>
      <c r="D78" s="113">
        <f t="shared" si="27"/>
        <v>1049.44</v>
      </c>
      <c r="E78" s="34">
        <f t="shared" si="28"/>
        <v>27.63138494</v>
      </c>
      <c r="F78" s="114">
        <f t="shared" ref="F78:F81" si="33">D78/I78</f>
        <v>524.72</v>
      </c>
      <c r="G78" s="115">
        <v>3.0</v>
      </c>
      <c r="H78" s="36">
        <f>700*I78</f>
        <v>1400</v>
      </c>
      <c r="I78" s="116">
        <v>2.0</v>
      </c>
      <c r="J78" s="36">
        <f t="shared" si="30"/>
        <v>1</v>
      </c>
      <c r="K78" s="117">
        <f>1348.56</f>
        <v>1348.56</v>
      </c>
      <c r="L78" s="118">
        <f t="shared" si="32"/>
        <v>33.33333333</v>
      </c>
      <c r="M78" s="155">
        <v>0.0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0" t="s">
        <v>92</v>
      </c>
      <c r="B79" s="111">
        <f>1398</f>
        <v>1398</v>
      </c>
      <c r="C79" s="112">
        <f t="shared" si="26"/>
        <v>904.96</v>
      </c>
      <c r="D79" s="113">
        <f t="shared" si="27"/>
        <v>493.04</v>
      </c>
      <c r="E79" s="34">
        <f t="shared" si="28"/>
        <v>35.26752504</v>
      </c>
      <c r="F79" s="114">
        <f t="shared" si="33"/>
        <v>246.52</v>
      </c>
      <c r="G79" s="115">
        <v>2.0</v>
      </c>
      <c r="H79" s="36">
        <f>200*I79</f>
        <v>400</v>
      </c>
      <c r="I79" s="116">
        <v>2.0</v>
      </c>
      <c r="J79" s="36">
        <f t="shared" si="30"/>
        <v>0</v>
      </c>
      <c r="K79" s="117">
        <f>504.96</f>
        <v>504.96</v>
      </c>
      <c r="L79" s="118">
        <f t="shared" si="32"/>
        <v>0</v>
      </c>
      <c r="M79" s="155">
        <f>13538.71</f>
        <v>13538.71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0" t="s">
        <v>93</v>
      </c>
      <c r="B80" s="111">
        <f>2698</f>
        <v>2698</v>
      </c>
      <c r="C80" s="112">
        <f t="shared" si="26"/>
        <v>1917.9</v>
      </c>
      <c r="D80" s="113">
        <f t="shared" si="27"/>
        <v>780.1</v>
      </c>
      <c r="E80" s="34">
        <f t="shared" si="28"/>
        <v>28.91401038</v>
      </c>
      <c r="F80" s="114">
        <f t="shared" si="33"/>
        <v>390.05</v>
      </c>
      <c r="G80" s="115">
        <v>3.0</v>
      </c>
      <c r="H80" s="36">
        <f>(270+220)*I80</f>
        <v>980</v>
      </c>
      <c r="I80" s="116">
        <v>2.0</v>
      </c>
      <c r="J80" s="36">
        <f t="shared" si="30"/>
        <v>1</v>
      </c>
      <c r="K80" s="117">
        <f>937.9</f>
        <v>937.9</v>
      </c>
      <c r="L80" s="118">
        <f t="shared" si="32"/>
        <v>33.33333333</v>
      </c>
      <c r="M80" s="155">
        <f>4336.25</f>
        <v>4336.25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0" t="s">
        <v>94</v>
      </c>
      <c r="B81" s="111">
        <f>1449</f>
        <v>1449</v>
      </c>
      <c r="C81" s="112">
        <f t="shared" si="26"/>
        <v>1053.5</v>
      </c>
      <c r="D81" s="113">
        <f t="shared" si="27"/>
        <v>395.5</v>
      </c>
      <c r="E81" s="34">
        <f t="shared" si="28"/>
        <v>27.29468599</v>
      </c>
      <c r="F81" s="114">
        <f t="shared" si="33"/>
        <v>395.5</v>
      </c>
      <c r="G81" s="115">
        <v>1.0</v>
      </c>
      <c r="H81" s="36">
        <f>(270+350)*I81</f>
        <v>620</v>
      </c>
      <c r="I81" s="116">
        <v>1.0</v>
      </c>
      <c r="J81" s="36">
        <f t="shared" si="30"/>
        <v>0</v>
      </c>
      <c r="K81" s="117">
        <f>433.5</f>
        <v>433.5</v>
      </c>
      <c r="L81" s="118">
        <f t="shared" si="32"/>
        <v>0</v>
      </c>
      <c r="M81" s="155">
        <f>1783.91</f>
        <v>1783.91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45">
        <f t="shared" ref="B82:D82" si="34">SUM(B71:B81)</f>
        <v>125978</v>
      </c>
      <c r="C82" s="45">
        <f t="shared" si="34"/>
        <v>91504.61</v>
      </c>
      <c r="D82" s="159">
        <f t="shared" si="34"/>
        <v>34473.39</v>
      </c>
      <c r="E82" s="3"/>
      <c r="F82" s="3"/>
      <c r="G82" s="45">
        <f t="shared" ref="G82:J82" si="35">SUM(G71:G81)</f>
        <v>160</v>
      </c>
      <c r="H82" s="45">
        <f t="shared" si="35"/>
        <v>43380</v>
      </c>
      <c r="I82" s="45">
        <f t="shared" si="35"/>
        <v>112</v>
      </c>
      <c r="J82" s="45">
        <f t="shared" si="35"/>
        <v>48</v>
      </c>
      <c r="K82" s="45">
        <f>SUM(K71:K81)-M82</f>
        <v>28465.74</v>
      </c>
      <c r="L82" s="3"/>
      <c r="M82" s="45">
        <f>SUM(M71:M81)</f>
        <v>19658.87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0"/>
      <c r="B84" s="141"/>
      <c r="C84" s="80"/>
      <c r="D84" s="80"/>
      <c r="E84" s="80"/>
      <c r="F84" s="8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02" t="s">
        <v>32</v>
      </c>
      <c r="B85" s="106">
        <f>B82</f>
        <v>125978</v>
      </c>
      <c r="C85" s="3"/>
      <c r="D85" s="3"/>
      <c r="E85" s="3"/>
      <c r="F85" s="8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02" t="s">
        <v>50</v>
      </c>
      <c r="B86" s="106">
        <f>H82</f>
        <v>43380</v>
      </c>
      <c r="C86" s="3"/>
      <c r="D86" s="46" t="s">
        <v>63</v>
      </c>
      <c r="E86" s="3"/>
      <c r="F86" s="8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2" t="s">
        <v>68</v>
      </c>
      <c r="B87" s="106">
        <f>K82</f>
        <v>28465.74</v>
      </c>
      <c r="C87" s="3"/>
      <c r="D87" s="145" t="s">
        <v>50</v>
      </c>
      <c r="E87" s="146">
        <f>B86/I82</f>
        <v>387.3214286</v>
      </c>
      <c r="F87" s="8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02" t="s">
        <v>52</v>
      </c>
      <c r="B88" s="106">
        <f>M82</f>
        <v>19658.87</v>
      </c>
      <c r="C88" s="3"/>
      <c r="D88" s="145" t="s">
        <v>35</v>
      </c>
      <c r="E88" s="146">
        <f>B88/I82</f>
        <v>175.525625</v>
      </c>
      <c r="F88" s="8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2" t="s">
        <v>36</v>
      </c>
      <c r="B89" s="106">
        <f>B85-SUM(B86:B88)</f>
        <v>34473.39</v>
      </c>
      <c r="C89" s="3"/>
      <c r="D89" s="145" t="s">
        <v>84</v>
      </c>
      <c r="E89" s="146">
        <f>B87/I82</f>
        <v>254.1583929</v>
      </c>
      <c r="F89" s="8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2" t="s">
        <v>38</v>
      </c>
      <c r="B90" s="120">
        <f>B89/B85*100</f>
        <v>27.36461128</v>
      </c>
      <c r="C90" s="3"/>
      <c r="D90" s="145" t="s">
        <v>33</v>
      </c>
      <c r="E90" s="146">
        <f>B85/I82</f>
        <v>1124.803571</v>
      </c>
      <c r="F90" s="8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0"/>
      <c r="B91" s="141"/>
      <c r="C91" s="80"/>
      <c r="D91" s="80"/>
      <c r="E91" s="141"/>
      <c r="F91" s="8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92" t="s">
        <v>88</v>
      </c>
      <c r="B95" s="93" t="s">
        <v>69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4" t="s">
        <v>45</v>
      </c>
      <c r="B97" s="108" t="s">
        <v>3</v>
      </c>
      <c r="C97" s="108" t="s">
        <v>4</v>
      </c>
      <c r="D97" s="108" t="s">
        <v>5</v>
      </c>
      <c r="E97" s="109" t="s">
        <v>6</v>
      </c>
      <c r="F97" s="108" t="s">
        <v>7</v>
      </c>
      <c r="G97" s="108" t="s">
        <v>98</v>
      </c>
      <c r="H97" s="108" t="s">
        <v>9</v>
      </c>
      <c r="I97" s="108" t="s">
        <v>87</v>
      </c>
      <c r="J97" s="108" t="s">
        <v>70</v>
      </c>
      <c r="K97" s="78" t="s">
        <v>51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10" t="s">
        <v>24</v>
      </c>
      <c r="B98" s="111">
        <f>689*H98</f>
        <v>179140</v>
      </c>
      <c r="C98" s="112">
        <f t="shared" ref="C98:C101" si="36">J98+G98+I98+K98</f>
        <v>88140</v>
      </c>
      <c r="D98" s="113">
        <f t="shared" ref="D98:D101" si="37">B98-C98</f>
        <v>91000</v>
      </c>
      <c r="E98" s="34">
        <f t="shared" ref="E98:E101" si="38">D98/B98*100</f>
        <v>50.79825835</v>
      </c>
      <c r="F98" s="114">
        <f t="shared" ref="F98:F101" si="39">D98/H98</f>
        <v>350</v>
      </c>
      <c r="G98" s="36">
        <f>270*H98</f>
        <v>70200</v>
      </c>
      <c r="H98" s="116">
        <v>260.0</v>
      </c>
      <c r="I98" s="36">
        <v>12740.0</v>
      </c>
      <c r="J98" s="160">
        <v>0.0</v>
      </c>
      <c r="K98" s="77">
        <f t="shared" ref="K98:K101" si="40">20*H98</f>
        <v>5200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10" t="s">
        <v>27</v>
      </c>
      <c r="B99" s="111">
        <f>359*H99</f>
        <v>84006</v>
      </c>
      <c r="C99" s="112">
        <f t="shared" si="36"/>
        <v>65576</v>
      </c>
      <c r="D99" s="113">
        <f t="shared" si="37"/>
        <v>18430</v>
      </c>
      <c r="E99" s="34">
        <f t="shared" si="38"/>
        <v>21.93890913</v>
      </c>
      <c r="F99" s="114">
        <f t="shared" si="39"/>
        <v>78.76068376</v>
      </c>
      <c r="G99" s="36">
        <f>220*H99</f>
        <v>51480</v>
      </c>
      <c r="H99" s="116">
        <v>234.0</v>
      </c>
      <c r="I99" s="36">
        <v>9416.0</v>
      </c>
      <c r="J99" s="160">
        <v>0.0</v>
      </c>
      <c r="K99" s="77">
        <f t="shared" si="40"/>
        <v>4680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10" t="s">
        <v>25</v>
      </c>
      <c r="B100" s="111">
        <f>781*H100</f>
        <v>44517</v>
      </c>
      <c r="C100" s="112">
        <f t="shared" si="36"/>
        <v>21090</v>
      </c>
      <c r="D100" s="113">
        <f t="shared" si="37"/>
        <v>23427</v>
      </c>
      <c r="E100" s="34">
        <f t="shared" si="38"/>
        <v>52.62483995</v>
      </c>
      <c r="F100" s="114">
        <f t="shared" si="39"/>
        <v>411</v>
      </c>
      <c r="G100" s="36">
        <f t="shared" ref="G100:G101" si="41">350*H100</f>
        <v>19950</v>
      </c>
      <c r="H100" s="116">
        <v>57.0</v>
      </c>
      <c r="I100" s="36">
        <v>0.0</v>
      </c>
      <c r="J100" s="160">
        <v>0.0</v>
      </c>
      <c r="K100" s="77">
        <f t="shared" si="40"/>
        <v>1140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0" t="s">
        <v>29</v>
      </c>
      <c r="B101" s="111">
        <f>843*H101</f>
        <v>39621</v>
      </c>
      <c r="C101" s="112">
        <f t="shared" si="36"/>
        <v>17390</v>
      </c>
      <c r="D101" s="113">
        <f t="shared" si="37"/>
        <v>22231</v>
      </c>
      <c r="E101" s="34">
        <f t="shared" si="38"/>
        <v>56.10913405</v>
      </c>
      <c r="F101" s="114">
        <f t="shared" si="39"/>
        <v>473</v>
      </c>
      <c r="G101" s="36">
        <f t="shared" si="41"/>
        <v>16450</v>
      </c>
      <c r="H101" s="116">
        <v>47.0</v>
      </c>
      <c r="I101" s="36">
        <v>0.0</v>
      </c>
      <c r="J101" s="160">
        <v>0.0</v>
      </c>
      <c r="K101" s="77">
        <f t="shared" si="40"/>
        <v>940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45">
        <f t="shared" ref="B102:I102" si="42">SUM(B98:B101)</f>
        <v>347284</v>
      </c>
      <c r="C102" s="45">
        <f t="shared" si="42"/>
        <v>192196</v>
      </c>
      <c r="D102" s="159">
        <f t="shared" si="42"/>
        <v>155088</v>
      </c>
      <c r="E102" s="156">
        <f t="shared" si="42"/>
        <v>181.4711415</v>
      </c>
      <c r="F102" s="156">
        <f t="shared" si="42"/>
        <v>1312.760684</v>
      </c>
      <c r="G102" s="45">
        <f t="shared" si="42"/>
        <v>158080</v>
      </c>
      <c r="H102" s="45">
        <f t="shared" si="42"/>
        <v>598</v>
      </c>
      <c r="I102" s="45">
        <f t="shared" si="42"/>
        <v>22156</v>
      </c>
      <c r="J102" s="3"/>
      <c r="K102" s="45">
        <f>SUM(K98:K101)</f>
        <v>11960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2" t="s">
        <v>32</v>
      </c>
      <c r="B105" s="103">
        <f>B102</f>
        <v>347284</v>
      </c>
      <c r="C105" s="3"/>
      <c r="D105" s="46" t="s">
        <v>63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02" t="s">
        <v>50</v>
      </c>
      <c r="B106" s="103">
        <f>G102</f>
        <v>158080</v>
      </c>
      <c r="C106" s="3"/>
      <c r="D106" s="145" t="s">
        <v>50</v>
      </c>
      <c r="E106" s="146">
        <f>B106/H102</f>
        <v>264.3478261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2" t="s">
        <v>73</v>
      </c>
      <c r="B107" s="103">
        <f>K102</f>
        <v>11960</v>
      </c>
      <c r="C107" s="3"/>
      <c r="D107" s="145" t="s">
        <v>35</v>
      </c>
      <c r="E107" s="146">
        <f>B108/H102</f>
        <v>37.05016722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02" t="s">
        <v>74</v>
      </c>
      <c r="B108" s="103">
        <f>I102+J102</f>
        <v>22156</v>
      </c>
      <c r="C108" s="3"/>
      <c r="D108" s="161" t="s">
        <v>51</v>
      </c>
      <c r="E108" s="146">
        <f>K102/H102</f>
        <v>20</v>
      </c>
      <c r="F108" s="8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2" t="s">
        <v>36</v>
      </c>
      <c r="B109" s="103">
        <f>B105-SUM(B106:B108)</f>
        <v>155088</v>
      </c>
      <c r="C109" s="3"/>
      <c r="D109" s="145" t="s">
        <v>33</v>
      </c>
      <c r="E109" s="146">
        <f>B105/H102</f>
        <v>580.7424749</v>
      </c>
      <c r="F109" s="8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2" t="s">
        <v>38</v>
      </c>
      <c r="B110" s="120">
        <f>B109/B105*100</f>
        <v>44.65739856</v>
      </c>
      <c r="C110" s="3"/>
      <c r="D110" s="3"/>
      <c r="E110" s="3"/>
      <c r="F110" s="8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0"/>
      <c r="B111" s="80"/>
      <c r="C111" s="80"/>
      <c r="D111" s="80"/>
      <c r="E111" s="141"/>
      <c r="F111" s="8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0"/>
      <c r="B112" s="162"/>
      <c r="C112" s="80"/>
      <c r="D112" s="80"/>
      <c r="E112" s="141"/>
      <c r="F112" s="8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0"/>
      <c r="B113" s="162"/>
      <c r="C113" s="80"/>
      <c r="D113" s="80"/>
      <c r="E113" s="80"/>
      <c r="F113" s="8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0"/>
      <c r="B114" s="80"/>
      <c r="C114" s="80"/>
      <c r="D114" s="80"/>
      <c r="E114" s="80"/>
      <c r="F114" s="8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92" t="s">
        <v>88</v>
      </c>
      <c r="B116" s="93" t="s">
        <v>99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4" t="s">
        <v>45</v>
      </c>
      <c r="B118" s="108" t="s">
        <v>3</v>
      </c>
      <c r="C118" s="108" t="s">
        <v>4</v>
      </c>
      <c r="D118" s="108" t="s">
        <v>5</v>
      </c>
      <c r="E118" s="109" t="s">
        <v>6</v>
      </c>
      <c r="F118" s="108" t="s">
        <v>7</v>
      </c>
      <c r="G118" s="108" t="s">
        <v>98</v>
      </c>
      <c r="H118" s="108" t="s">
        <v>9</v>
      </c>
      <c r="I118" s="108" t="s">
        <v>87</v>
      </c>
      <c r="J118" s="108" t="s">
        <v>70</v>
      </c>
      <c r="K118" s="78" t="s">
        <v>51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10" t="s">
        <v>24</v>
      </c>
      <c r="B119" s="111">
        <f>727*H119</f>
        <v>82878</v>
      </c>
      <c r="C119" s="112">
        <f t="shared" ref="C119:C121" si="43">J119+G119+I119+K119</f>
        <v>33060</v>
      </c>
      <c r="D119" s="113">
        <f t="shared" ref="D119:D122" si="44">B119-C119</f>
        <v>49818</v>
      </c>
      <c r="E119" s="34">
        <f t="shared" ref="E119:E121" si="45">D119/B119*100</f>
        <v>60.11004127</v>
      </c>
      <c r="F119" s="114">
        <f t="shared" ref="F119:F121" si="46">D119/H119</f>
        <v>437</v>
      </c>
      <c r="G119" s="36">
        <f>270*H119</f>
        <v>30780</v>
      </c>
      <c r="H119" s="116">
        <v>114.0</v>
      </c>
      <c r="I119" s="36">
        <v>0.0</v>
      </c>
      <c r="J119" s="160">
        <v>0.0</v>
      </c>
      <c r="K119" s="77">
        <f t="shared" ref="K119:K121" si="47">20*H119</f>
        <v>2280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10" t="s">
        <v>27</v>
      </c>
      <c r="B120" s="111">
        <f>385*H120</f>
        <v>7700</v>
      </c>
      <c r="C120" s="112">
        <f t="shared" si="43"/>
        <v>4800</v>
      </c>
      <c r="D120" s="113">
        <f t="shared" si="44"/>
        <v>2900</v>
      </c>
      <c r="E120" s="34">
        <f t="shared" si="45"/>
        <v>37.66233766</v>
      </c>
      <c r="F120" s="114">
        <f t="shared" si="46"/>
        <v>145</v>
      </c>
      <c r="G120" s="36">
        <f>220*H120</f>
        <v>4400</v>
      </c>
      <c r="H120" s="116">
        <v>20.0</v>
      </c>
      <c r="I120" s="36">
        <v>0.0</v>
      </c>
      <c r="J120" s="160">
        <v>0.0</v>
      </c>
      <c r="K120" s="77">
        <f t="shared" si="47"/>
        <v>400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10" t="s">
        <v>25</v>
      </c>
      <c r="B121" s="111">
        <f>801*H121</f>
        <v>64881</v>
      </c>
      <c r="C121" s="112">
        <f t="shared" si="43"/>
        <v>29970</v>
      </c>
      <c r="D121" s="113">
        <f t="shared" si="44"/>
        <v>34911</v>
      </c>
      <c r="E121" s="34">
        <f t="shared" si="45"/>
        <v>53.80774032</v>
      </c>
      <c r="F121" s="114">
        <f t="shared" si="46"/>
        <v>431</v>
      </c>
      <c r="G121" s="36">
        <f>350*H121</f>
        <v>28350</v>
      </c>
      <c r="H121" s="116">
        <v>81.0</v>
      </c>
      <c r="I121" s="36">
        <v>0.0</v>
      </c>
      <c r="J121" s="160">
        <v>0.0</v>
      </c>
      <c r="K121" s="77">
        <f t="shared" si="47"/>
        <v>1620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45">
        <f t="shared" ref="B122:C122" si="48">SUM(B119:B121)</f>
        <v>155459</v>
      </c>
      <c r="C122" s="45">
        <f t="shared" si="48"/>
        <v>67830</v>
      </c>
      <c r="D122" s="45">
        <f t="shared" si="44"/>
        <v>87629</v>
      </c>
      <c r="E122" s="3"/>
      <c r="F122" s="3"/>
      <c r="G122" s="45">
        <f t="shared" ref="G122:H122" si="49">SUM(G119:G121)</f>
        <v>63530</v>
      </c>
      <c r="H122" s="45">
        <f t="shared" si="49"/>
        <v>215</v>
      </c>
      <c r="I122" s="3"/>
      <c r="J122" s="3"/>
      <c r="K122" s="45">
        <f>SUM(K119:K121)</f>
        <v>4300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02" t="s">
        <v>32</v>
      </c>
      <c r="B124" s="103">
        <f>B122</f>
        <v>155459</v>
      </c>
      <c r="C124" s="3"/>
      <c r="D124" s="46" t="s">
        <v>63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2" t="s">
        <v>50</v>
      </c>
      <c r="B125" s="103">
        <f>G122</f>
        <v>63530</v>
      </c>
      <c r="C125" s="3"/>
      <c r="D125" s="145" t="s">
        <v>50</v>
      </c>
      <c r="E125" s="146">
        <f>B125/H122</f>
        <v>295.4883721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02" t="s">
        <v>73</v>
      </c>
      <c r="B126" s="103">
        <f>K122</f>
        <v>4300</v>
      </c>
      <c r="C126" s="3"/>
      <c r="D126" s="145" t="s">
        <v>35</v>
      </c>
      <c r="E126" s="146">
        <f>B127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2" t="s">
        <v>74</v>
      </c>
      <c r="B127" s="103">
        <f>I121+J121</f>
        <v>0</v>
      </c>
      <c r="C127" s="3"/>
      <c r="D127" s="163" t="s">
        <v>51</v>
      </c>
      <c r="E127" s="146">
        <f>B126/H122</f>
        <v>20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02" t="s">
        <v>36</v>
      </c>
      <c r="B128" s="103">
        <f>B124-SUM(B125:B127)</f>
        <v>87629</v>
      </c>
      <c r="C128" s="3"/>
      <c r="D128" s="145" t="s">
        <v>33</v>
      </c>
      <c r="E128" s="146">
        <f>B124/H122</f>
        <v>723.0651163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02" t="s">
        <v>38</v>
      </c>
      <c r="B129" s="120">
        <f>B128/B124*100</f>
        <v>56.36791694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21"/>
      <c r="B134" s="164"/>
      <c r="C134" s="165"/>
      <c r="D134" s="3"/>
      <c r="E134" s="123"/>
      <c r="F134" s="12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66"/>
      <c r="B135" s="167"/>
      <c r="C135" s="165"/>
      <c r="D135" s="3"/>
      <c r="E135" s="123"/>
      <c r="F135" s="12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27"/>
      <c r="B136" s="168"/>
      <c r="C136" s="165"/>
      <c r="D136" s="3"/>
      <c r="E136" s="123"/>
      <c r="F136" s="12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69"/>
      <c r="B137" s="170"/>
      <c r="C137" s="171"/>
      <c r="D137" s="3"/>
      <c r="E137" s="123"/>
      <c r="F137" s="12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31"/>
      <c r="B138" s="172"/>
      <c r="C138" s="171"/>
      <c r="D138" s="3"/>
      <c r="E138" s="123"/>
      <c r="F138" s="12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73"/>
      <c r="B139" s="174"/>
      <c r="C139" s="3"/>
      <c r="D139" s="3"/>
      <c r="E139" s="135"/>
      <c r="F139" s="13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75"/>
      <c r="B140" s="17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77"/>
      <c r="B141" s="17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13.38"/>
  </cols>
  <sheetData>
    <row r="1">
      <c r="A1" s="92" t="s">
        <v>100</v>
      </c>
      <c r="B1" s="9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3"/>
      <c r="U2" s="3"/>
      <c r="V2" s="3"/>
      <c r="W2" s="3"/>
      <c r="X2" s="3"/>
      <c r="Y2" s="3"/>
      <c r="Z2" s="3"/>
    </row>
    <row r="3">
      <c r="A3" s="7" t="s">
        <v>2</v>
      </c>
      <c r="B3" s="29" t="s">
        <v>3</v>
      </c>
      <c r="C3" s="29" t="s">
        <v>4</v>
      </c>
      <c r="D3" s="29" t="s">
        <v>5</v>
      </c>
      <c r="E3" s="30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14</v>
      </c>
      <c r="M3" s="29" t="s">
        <v>13</v>
      </c>
      <c r="N3" s="29" t="s">
        <v>18</v>
      </c>
      <c r="O3" s="30" t="s">
        <v>15</v>
      </c>
      <c r="P3" s="30" t="s">
        <v>16</v>
      </c>
      <c r="Q3" s="30" t="s">
        <v>17</v>
      </c>
      <c r="R3" s="29" t="s">
        <v>22</v>
      </c>
      <c r="S3" s="29" t="s">
        <v>23</v>
      </c>
      <c r="T3" s="3"/>
      <c r="U3" s="3"/>
      <c r="V3" s="3"/>
      <c r="W3" s="3"/>
      <c r="X3" s="3"/>
      <c r="Y3" s="3"/>
      <c r="Z3" s="3"/>
    </row>
    <row r="4">
      <c r="A4" s="7" t="s">
        <v>24</v>
      </c>
      <c r="B4" s="12">
        <v>429704.0</v>
      </c>
      <c r="C4" s="32">
        <f t="shared" ref="C4:C23" si="1">G4+J4+L4</f>
        <v>147490</v>
      </c>
      <c r="D4" s="33">
        <f t="shared" ref="D4:D23" si="2">B4-C4</f>
        <v>282214</v>
      </c>
      <c r="E4" s="34">
        <f t="shared" ref="E4:E23" si="3">D4/B4*100</f>
        <v>65.67637257</v>
      </c>
      <c r="F4" s="35">
        <f t="shared" ref="F4:F23" si="4">D4/K4</f>
        <v>695.1083744</v>
      </c>
      <c r="G4" s="68"/>
      <c r="H4" s="12">
        <v>470.0</v>
      </c>
      <c r="I4" s="12">
        <v>438.0</v>
      </c>
      <c r="J4" s="36">
        <f>250*K4</f>
        <v>101500</v>
      </c>
      <c r="K4" s="12">
        <v>406.0</v>
      </c>
      <c r="L4" s="69">
        <f t="shared" ref="L4:L23" si="5">I4*105</f>
        <v>45990</v>
      </c>
      <c r="M4" s="179">
        <f t="shared" ref="M4:M23" si="6">I4-K4-N4</f>
        <v>32</v>
      </c>
      <c r="N4" s="68"/>
      <c r="O4" s="39">
        <f t="shared" ref="O4:O23" si="7">M4/I4*100</f>
        <v>7.305936073</v>
      </c>
      <c r="P4" s="70">
        <f t="shared" ref="P4:P23" si="8">I4/H4*100</f>
        <v>93.19148936</v>
      </c>
      <c r="Q4" s="40">
        <f t="shared" ref="Q4:Q23" si="9">K4/I4*100</f>
        <v>92.69406393</v>
      </c>
      <c r="R4" s="35">
        <f t="shared" ref="R4:R23" si="10">G4/K4</f>
        <v>0</v>
      </c>
      <c r="S4" s="35">
        <f t="shared" ref="S4:S23" si="11">100-P4</f>
        <v>6.808510638</v>
      </c>
      <c r="T4" s="3"/>
      <c r="U4" s="3"/>
      <c r="V4" s="3"/>
      <c r="W4" s="3"/>
      <c r="X4" s="3"/>
      <c r="Y4" s="3"/>
      <c r="Z4" s="3"/>
    </row>
    <row r="5">
      <c r="A5" s="7" t="s">
        <v>101</v>
      </c>
      <c r="B5" s="12">
        <v>15292.0</v>
      </c>
      <c r="C5" s="32">
        <f t="shared" si="1"/>
        <v>4945</v>
      </c>
      <c r="D5" s="33">
        <f t="shared" si="2"/>
        <v>10347</v>
      </c>
      <c r="E5" s="34">
        <f t="shared" si="3"/>
        <v>67.66283024</v>
      </c>
      <c r="F5" s="35">
        <f t="shared" si="4"/>
        <v>1293.375</v>
      </c>
      <c r="G5" s="68"/>
      <c r="H5" s="12">
        <v>11.0</v>
      </c>
      <c r="I5" s="12">
        <v>9.0</v>
      </c>
      <c r="J5" s="36">
        <f>500*K5</f>
        <v>4000</v>
      </c>
      <c r="K5" s="12">
        <v>8.0</v>
      </c>
      <c r="L5" s="69">
        <f t="shared" si="5"/>
        <v>945</v>
      </c>
      <c r="M5" s="179">
        <f t="shared" si="6"/>
        <v>1</v>
      </c>
      <c r="N5" s="68"/>
      <c r="O5" s="39">
        <f t="shared" si="7"/>
        <v>11.11111111</v>
      </c>
      <c r="P5" s="70">
        <f t="shared" si="8"/>
        <v>81.81818182</v>
      </c>
      <c r="Q5" s="40">
        <f t="shared" si="9"/>
        <v>88.88888889</v>
      </c>
      <c r="R5" s="35">
        <f t="shared" si="10"/>
        <v>0</v>
      </c>
      <c r="S5" s="35">
        <f t="shared" si="11"/>
        <v>18.18181818</v>
      </c>
      <c r="T5" s="3"/>
      <c r="U5" s="3"/>
      <c r="V5" s="3"/>
      <c r="W5" s="3"/>
      <c r="X5" s="3"/>
      <c r="Y5" s="3"/>
      <c r="Z5" s="3"/>
    </row>
    <row r="6">
      <c r="A6" s="7" t="s">
        <v>25</v>
      </c>
      <c r="B6" s="12">
        <v>1165986.0</v>
      </c>
      <c r="C6" s="94">
        <f t="shared" si="1"/>
        <v>429065</v>
      </c>
      <c r="D6" s="95">
        <f t="shared" si="2"/>
        <v>736921</v>
      </c>
      <c r="E6" s="34">
        <f t="shared" si="3"/>
        <v>63.20153072</v>
      </c>
      <c r="F6" s="35">
        <f t="shared" si="4"/>
        <v>796.6713514</v>
      </c>
      <c r="G6" s="96"/>
      <c r="H6" s="12">
        <v>1024.0</v>
      </c>
      <c r="I6" s="12">
        <v>1003.0</v>
      </c>
      <c r="J6" s="36">
        <f>350*K6</f>
        <v>323750</v>
      </c>
      <c r="K6" s="12">
        <v>925.0</v>
      </c>
      <c r="L6" s="69">
        <f t="shared" si="5"/>
        <v>105315</v>
      </c>
      <c r="M6" s="179">
        <f t="shared" si="6"/>
        <v>78</v>
      </c>
      <c r="N6" s="68"/>
      <c r="O6" s="39">
        <f t="shared" si="7"/>
        <v>7.77666999</v>
      </c>
      <c r="P6" s="70">
        <f t="shared" si="8"/>
        <v>97.94921875</v>
      </c>
      <c r="Q6" s="40">
        <f t="shared" si="9"/>
        <v>92.22333001</v>
      </c>
      <c r="R6" s="35">
        <f t="shared" si="10"/>
        <v>0</v>
      </c>
      <c r="S6" s="35">
        <f t="shared" si="11"/>
        <v>2.05078125</v>
      </c>
      <c r="T6" s="3"/>
      <c r="U6" s="3"/>
      <c r="V6" s="3"/>
      <c r="W6" s="3"/>
      <c r="X6" s="3"/>
      <c r="Y6" s="3"/>
      <c r="Z6" s="3"/>
    </row>
    <row r="7">
      <c r="A7" s="7" t="s">
        <v>102</v>
      </c>
      <c r="B7" s="12">
        <v>53797.0</v>
      </c>
      <c r="C7" s="94">
        <f t="shared" si="1"/>
        <v>19320</v>
      </c>
      <c r="D7" s="95">
        <f t="shared" si="2"/>
        <v>34477</v>
      </c>
      <c r="E7" s="34">
        <f t="shared" si="3"/>
        <v>64.08721676</v>
      </c>
      <c r="F7" s="35">
        <f t="shared" si="4"/>
        <v>1436.541667</v>
      </c>
      <c r="G7" s="96"/>
      <c r="H7" s="12">
        <v>25.0</v>
      </c>
      <c r="I7" s="12">
        <v>24.0</v>
      </c>
      <c r="J7" s="36">
        <f>700*K7</f>
        <v>16800</v>
      </c>
      <c r="K7" s="12">
        <v>24.0</v>
      </c>
      <c r="L7" s="69">
        <f t="shared" si="5"/>
        <v>2520</v>
      </c>
      <c r="M7" s="179">
        <f t="shared" si="6"/>
        <v>0</v>
      </c>
      <c r="N7" s="68"/>
      <c r="O7" s="39">
        <f t="shared" si="7"/>
        <v>0</v>
      </c>
      <c r="P7" s="70">
        <f t="shared" si="8"/>
        <v>96</v>
      </c>
      <c r="Q7" s="40">
        <f t="shared" si="9"/>
        <v>100</v>
      </c>
      <c r="R7" s="35">
        <f t="shared" si="10"/>
        <v>0</v>
      </c>
      <c r="S7" s="35">
        <f t="shared" si="11"/>
        <v>4</v>
      </c>
      <c r="T7" s="3"/>
      <c r="U7" s="3"/>
      <c r="V7" s="3"/>
      <c r="W7" s="3"/>
      <c r="X7" s="3"/>
      <c r="Y7" s="3"/>
      <c r="Z7" s="3"/>
    </row>
    <row r="8">
      <c r="A8" s="7" t="s">
        <v>26</v>
      </c>
      <c r="B8" s="12">
        <v>476989.0</v>
      </c>
      <c r="C8" s="32">
        <f t="shared" si="1"/>
        <v>210490</v>
      </c>
      <c r="D8" s="33">
        <f t="shared" si="2"/>
        <v>266499</v>
      </c>
      <c r="E8" s="34">
        <f t="shared" si="3"/>
        <v>55.87109975</v>
      </c>
      <c r="F8" s="35">
        <f t="shared" si="4"/>
        <v>1028.953668</v>
      </c>
      <c r="G8" s="68"/>
      <c r="H8" s="12">
        <v>287.0</v>
      </c>
      <c r="I8" s="12">
        <v>278.0</v>
      </c>
      <c r="J8" s="36">
        <f> 700*K8</f>
        <v>181300</v>
      </c>
      <c r="K8" s="12">
        <v>259.0</v>
      </c>
      <c r="L8" s="69">
        <f t="shared" si="5"/>
        <v>29190</v>
      </c>
      <c r="M8" s="179">
        <f t="shared" si="6"/>
        <v>19</v>
      </c>
      <c r="N8" s="68"/>
      <c r="O8" s="39">
        <f t="shared" si="7"/>
        <v>6.834532374</v>
      </c>
      <c r="P8" s="70">
        <f t="shared" si="8"/>
        <v>96.8641115</v>
      </c>
      <c r="Q8" s="40">
        <f t="shared" si="9"/>
        <v>93.16546763</v>
      </c>
      <c r="R8" s="35">
        <f t="shared" si="10"/>
        <v>0</v>
      </c>
      <c r="S8" s="35">
        <f t="shared" si="11"/>
        <v>3.135888502</v>
      </c>
      <c r="T8" s="3"/>
      <c r="U8" s="3"/>
      <c r="V8" s="3"/>
      <c r="W8" s="3"/>
      <c r="X8" s="3"/>
      <c r="Y8" s="3"/>
      <c r="Z8" s="3"/>
    </row>
    <row r="9">
      <c r="A9" s="7" t="s">
        <v>27</v>
      </c>
      <c r="B9" s="12">
        <v>111367.0</v>
      </c>
      <c r="C9" s="32">
        <f t="shared" si="1"/>
        <v>73535</v>
      </c>
      <c r="D9" s="33">
        <f t="shared" si="2"/>
        <v>37832</v>
      </c>
      <c r="E9" s="34">
        <f t="shared" si="3"/>
        <v>33.97056579</v>
      </c>
      <c r="F9" s="35">
        <f t="shared" si="4"/>
        <v>158.9579832</v>
      </c>
      <c r="G9" s="68"/>
      <c r="H9" s="12">
        <v>268.0</v>
      </c>
      <c r="I9" s="12">
        <v>247.0</v>
      </c>
      <c r="J9" s="36">
        <f>200*K9</f>
        <v>47600</v>
      </c>
      <c r="K9" s="12">
        <v>238.0</v>
      </c>
      <c r="L9" s="69">
        <f t="shared" si="5"/>
        <v>25935</v>
      </c>
      <c r="M9" s="179">
        <f t="shared" si="6"/>
        <v>9</v>
      </c>
      <c r="N9" s="68"/>
      <c r="O9" s="39">
        <f t="shared" si="7"/>
        <v>3.643724696</v>
      </c>
      <c r="P9" s="70">
        <f t="shared" si="8"/>
        <v>92.1641791</v>
      </c>
      <c r="Q9" s="40">
        <f t="shared" si="9"/>
        <v>96.3562753</v>
      </c>
      <c r="R9" s="35">
        <f t="shared" si="10"/>
        <v>0</v>
      </c>
      <c r="S9" s="35">
        <f t="shared" si="11"/>
        <v>7.835820896</v>
      </c>
      <c r="T9" s="3"/>
      <c r="U9" s="3"/>
      <c r="V9" s="3"/>
      <c r="W9" s="3"/>
      <c r="X9" s="3"/>
      <c r="Y9" s="3"/>
      <c r="Z9" s="3"/>
    </row>
    <row r="10">
      <c r="A10" s="7" t="s">
        <v>103</v>
      </c>
      <c r="B10" s="12">
        <v>33013.0</v>
      </c>
      <c r="C10" s="32">
        <f t="shared" si="1"/>
        <v>19695</v>
      </c>
      <c r="D10" s="33">
        <f t="shared" si="2"/>
        <v>13318</v>
      </c>
      <c r="E10" s="34">
        <f t="shared" si="3"/>
        <v>40.34168358</v>
      </c>
      <c r="F10" s="35">
        <f t="shared" si="4"/>
        <v>341.4871795</v>
      </c>
      <c r="G10" s="68"/>
      <c r="H10" s="12">
        <v>41.0</v>
      </c>
      <c r="I10" s="12">
        <v>39.0</v>
      </c>
      <c r="J10" s="36">
        <f>400*K10</f>
        <v>15600</v>
      </c>
      <c r="K10" s="12">
        <v>39.0</v>
      </c>
      <c r="L10" s="69">
        <f t="shared" si="5"/>
        <v>4095</v>
      </c>
      <c r="M10" s="179">
        <f t="shared" si="6"/>
        <v>0</v>
      </c>
      <c r="N10" s="68"/>
      <c r="O10" s="39">
        <f t="shared" si="7"/>
        <v>0</v>
      </c>
      <c r="P10" s="70">
        <f t="shared" si="8"/>
        <v>95.12195122</v>
      </c>
      <c r="Q10" s="40">
        <f t="shared" si="9"/>
        <v>100</v>
      </c>
      <c r="R10" s="35">
        <f t="shared" si="10"/>
        <v>0</v>
      </c>
      <c r="S10" s="35">
        <f t="shared" si="11"/>
        <v>4.87804878</v>
      </c>
      <c r="T10" s="3"/>
      <c r="U10" s="3"/>
      <c r="V10" s="3"/>
      <c r="W10" s="3"/>
      <c r="X10" s="3"/>
      <c r="Y10" s="3"/>
      <c r="Z10" s="3"/>
    </row>
    <row r="11">
      <c r="A11" s="7" t="s">
        <v>104</v>
      </c>
      <c r="B11" s="12">
        <v>2468.0</v>
      </c>
      <c r="C11" s="32">
        <f t="shared" si="1"/>
        <v>1410</v>
      </c>
      <c r="D11" s="33">
        <f t="shared" si="2"/>
        <v>1058</v>
      </c>
      <c r="E11" s="34">
        <f t="shared" si="3"/>
        <v>42.86871961</v>
      </c>
      <c r="F11" s="35">
        <f t="shared" si="4"/>
        <v>529</v>
      </c>
      <c r="G11" s="68"/>
      <c r="H11" s="12">
        <v>2.0</v>
      </c>
      <c r="I11" s="12">
        <v>2.0</v>
      </c>
      <c r="J11" s="36">
        <f>600*K11</f>
        <v>1200</v>
      </c>
      <c r="K11" s="12">
        <v>2.0</v>
      </c>
      <c r="L11" s="69">
        <f t="shared" si="5"/>
        <v>210</v>
      </c>
      <c r="M11" s="179">
        <f t="shared" si="6"/>
        <v>0</v>
      </c>
      <c r="N11" s="68"/>
      <c r="O11" s="39">
        <f t="shared" si="7"/>
        <v>0</v>
      </c>
      <c r="P11" s="70">
        <f t="shared" si="8"/>
        <v>100</v>
      </c>
      <c r="Q11" s="40">
        <f t="shared" si="9"/>
        <v>100</v>
      </c>
      <c r="R11" s="35">
        <f t="shared" si="10"/>
        <v>0</v>
      </c>
      <c r="S11" s="35">
        <f t="shared" si="11"/>
        <v>0</v>
      </c>
      <c r="T11" s="3"/>
      <c r="U11" s="3"/>
      <c r="V11" s="3"/>
      <c r="W11" s="3"/>
      <c r="X11" s="3"/>
      <c r="Y11" s="3"/>
      <c r="Z11" s="3"/>
    </row>
    <row r="12">
      <c r="A12" s="7" t="s">
        <v>28</v>
      </c>
      <c r="B12" s="12">
        <v>95302.0</v>
      </c>
      <c r="C12" s="32">
        <f t="shared" si="1"/>
        <v>32265</v>
      </c>
      <c r="D12" s="33">
        <f t="shared" si="2"/>
        <v>63037</v>
      </c>
      <c r="E12" s="34">
        <f t="shared" si="3"/>
        <v>66.14446706</v>
      </c>
      <c r="F12" s="35">
        <f t="shared" si="4"/>
        <v>700.4111111</v>
      </c>
      <c r="G12" s="68"/>
      <c r="H12" s="12">
        <v>100.0</v>
      </c>
      <c r="I12" s="12">
        <v>93.0</v>
      </c>
      <c r="J12" s="36">
        <f>250*K12</f>
        <v>22500</v>
      </c>
      <c r="K12" s="12">
        <v>90.0</v>
      </c>
      <c r="L12" s="69">
        <f t="shared" si="5"/>
        <v>9765</v>
      </c>
      <c r="M12" s="179">
        <f t="shared" si="6"/>
        <v>3</v>
      </c>
      <c r="N12" s="68"/>
      <c r="O12" s="39">
        <f t="shared" si="7"/>
        <v>3.225806452</v>
      </c>
      <c r="P12" s="70">
        <f t="shared" si="8"/>
        <v>93</v>
      </c>
      <c r="Q12" s="40">
        <f t="shared" si="9"/>
        <v>96.77419355</v>
      </c>
      <c r="R12" s="35">
        <f t="shared" si="10"/>
        <v>0</v>
      </c>
      <c r="S12" s="35">
        <f t="shared" si="11"/>
        <v>7</v>
      </c>
      <c r="T12" s="3"/>
      <c r="U12" s="3"/>
      <c r="V12" s="3"/>
      <c r="W12" s="3"/>
      <c r="X12" s="3"/>
      <c r="Y12" s="3"/>
      <c r="Z12" s="3"/>
    </row>
    <row r="13">
      <c r="A13" s="7" t="s">
        <v>29</v>
      </c>
      <c r="B13" s="12">
        <v>769742.0</v>
      </c>
      <c r="C13" s="32">
        <f t="shared" si="1"/>
        <v>305305</v>
      </c>
      <c r="D13" s="33">
        <f t="shared" si="2"/>
        <v>464437</v>
      </c>
      <c r="E13" s="34">
        <f t="shared" si="3"/>
        <v>60.33671022</v>
      </c>
      <c r="F13" s="35">
        <f t="shared" si="4"/>
        <v>707.9832317</v>
      </c>
      <c r="G13" s="68"/>
      <c r="H13" s="12">
        <v>747.0</v>
      </c>
      <c r="I13" s="12">
        <v>721.0</v>
      </c>
      <c r="J13" s="36">
        <f>350*K13</f>
        <v>229600</v>
      </c>
      <c r="K13" s="12">
        <v>656.0</v>
      </c>
      <c r="L13" s="69">
        <f t="shared" si="5"/>
        <v>75705</v>
      </c>
      <c r="M13" s="179">
        <f t="shared" si="6"/>
        <v>65</v>
      </c>
      <c r="N13" s="68"/>
      <c r="O13" s="39">
        <f t="shared" si="7"/>
        <v>9.015256588</v>
      </c>
      <c r="P13" s="70">
        <f t="shared" si="8"/>
        <v>96.51941098</v>
      </c>
      <c r="Q13" s="40">
        <f t="shared" si="9"/>
        <v>90.98474341</v>
      </c>
      <c r="R13" s="35">
        <f t="shared" si="10"/>
        <v>0</v>
      </c>
      <c r="S13" s="35">
        <f t="shared" si="11"/>
        <v>3.480589023</v>
      </c>
      <c r="T13" s="3"/>
      <c r="U13" s="3"/>
      <c r="V13" s="3"/>
      <c r="W13" s="3"/>
      <c r="X13" s="3"/>
      <c r="Y13" s="3"/>
      <c r="Z13" s="3"/>
    </row>
    <row r="14">
      <c r="A14" s="7" t="s">
        <v>105</v>
      </c>
      <c r="B14" s="12">
        <v>15173.0</v>
      </c>
      <c r="C14" s="32">
        <f t="shared" si="1"/>
        <v>5845</v>
      </c>
      <c r="D14" s="33">
        <f t="shared" si="2"/>
        <v>9328</v>
      </c>
      <c r="E14" s="34">
        <f t="shared" si="3"/>
        <v>61.47762473</v>
      </c>
      <c r="F14" s="35">
        <f t="shared" si="4"/>
        <v>1332.571429</v>
      </c>
      <c r="G14" s="68"/>
      <c r="H14" s="12">
        <v>11.0</v>
      </c>
      <c r="I14" s="12">
        <v>9.0</v>
      </c>
      <c r="J14" s="36">
        <f>700*K14</f>
        <v>4900</v>
      </c>
      <c r="K14" s="12">
        <v>7.0</v>
      </c>
      <c r="L14" s="69">
        <f t="shared" si="5"/>
        <v>945</v>
      </c>
      <c r="M14" s="179">
        <f t="shared" si="6"/>
        <v>2</v>
      </c>
      <c r="N14" s="68"/>
      <c r="O14" s="39">
        <f t="shared" si="7"/>
        <v>22.22222222</v>
      </c>
      <c r="P14" s="70">
        <f t="shared" si="8"/>
        <v>81.81818182</v>
      </c>
      <c r="Q14" s="40">
        <f t="shared" si="9"/>
        <v>77.77777778</v>
      </c>
      <c r="R14" s="35">
        <f t="shared" si="10"/>
        <v>0</v>
      </c>
      <c r="S14" s="35">
        <f t="shared" si="11"/>
        <v>18.18181818</v>
      </c>
      <c r="T14" s="3"/>
      <c r="U14" s="3"/>
      <c r="V14" s="3"/>
      <c r="W14" s="3"/>
      <c r="X14" s="3"/>
      <c r="Y14" s="3"/>
      <c r="Z14" s="3"/>
    </row>
    <row r="15">
      <c r="A15" s="7" t="s">
        <v>106</v>
      </c>
      <c r="B15" s="12">
        <v>15173.0</v>
      </c>
      <c r="C15" s="32">
        <f t="shared" si="1"/>
        <v>7840</v>
      </c>
      <c r="D15" s="33">
        <f t="shared" si="2"/>
        <v>7333</v>
      </c>
      <c r="E15" s="34">
        <f t="shared" si="3"/>
        <v>48.3292691</v>
      </c>
      <c r="F15" s="35">
        <f t="shared" si="4"/>
        <v>1047.571429</v>
      </c>
      <c r="G15" s="68"/>
      <c r="H15" s="12">
        <v>8.0</v>
      </c>
      <c r="I15" s="12">
        <v>8.0</v>
      </c>
      <c r="J15" s="36">
        <f>1000*K15</f>
        <v>7000</v>
      </c>
      <c r="K15" s="12">
        <v>7.0</v>
      </c>
      <c r="L15" s="69">
        <f t="shared" si="5"/>
        <v>840</v>
      </c>
      <c r="M15" s="179">
        <f t="shared" si="6"/>
        <v>1</v>
      </c>
      <c r="N15" s="68"/>
      <c r="O15" s="39">
        <f t="shared" si="7"/>
        <v>12.5</v>
      </c>
      <c r="P15" s="70">
        <f t="shared" si="8"/>
        <v>100</v>
      </c>
      <c r="Q15" s="40">
        <f t="shared" si="9"/>
        <v>87.5</v>
      </c>
      <c r="R15" s="35">
        <f t="shared" si="10"/>
        <v>0</v>
      </c>
      <c r="S15" s="35">
        <f t="shared" si="11"/>
        <v>0</v>
      </c>
      <c r="T15" s="3"/>
      <c r="U15" s="3"/>
      <c r="V15" s="3"/>
      <c r="W15" s="3"/>
      <c r="X15" s="3"/>
      <c r="Y15" s="3"/>
      <c r="Z15" s="3"/>
    </row>
    <row r="16">
      <c r="A16" s="7" t="s">
        <v>30</v>
      </c>
      <c r="B16" s="12">
        <v>107927.0</v>
      </c>
      <c r="C16" s="94">
        <f t="shared" si="1"/>
        <v>52055</v>
      </c>
      <c r="D16" s="95">
        <f t="shared" si="2"/>
        <v>55872</v>
      </c>
      <c r="E16" s="34">
        <f t="shared" si="3"/>
        <v>51.76832489</v>
      </c>
      <c r="F16" s="35">
        <f t="shared" si="4"/>
        <v>657.3176471</v>
      </c>
      <c r="G16" s="96"/>
      <c r="H16" s="12">
        <v>104.0</v>
      </c>
      <c r="I16" s="12">
        <v>91.0</v>
      </c>
      <c r="J16" s="36">
        <f>500*K16</f>
        <v>42500</v>
      </c>
      <c r="K16" s="12">
        <v>85.0</v>
      </c>
      <c r="L16" s="69">
        <f t="shared" si="5"/>
        <v>9555</v>
      </c>
      <c r="M16" s="179">
        <f t="shared" si="6"/>
        <v>6</v>
      </c>
      <c r="N16" s="68"/>
      <c r="O16" s="39">
        <f t="shared" si="7"/>
        <v>6.593406593</v>
      </c>
      <c r="P16" s="70">
        <f t="shared" si="8"/>
        <v>87.5</v>
      </c>
      <c r="Q16" s="40">
        <f t="shared" si="9"/>
        <v>93.40659341</v>
      </c>
      <c r="R16" s="35">
        <f t="shared" si="10"/>
        <v>0</v>
      </c>
      <c r="S16" s="35">
        <f t="shared" si="11"/>
        <v>12.5</v>
      </c>
      <c r="T16" s="3"/>
      <c r="U16" s="3"/>
      <c r="V16" s="3"/>
      <c r="W16" s="3"/>
      <c r="X16" s="3"/>
      <c r="Y16" s="3"/>
      <c r="Z16" s="3"/>
    </row>
    <row r="17">
      <c r="A17" s="7" t="s">
        <v>31</v>
      </c>
      <c r="B17" s="12">
        <v>342040.0</v>
      </c>
      <c r="C17" s="94">
        <f t="shared" si="1"/>
        <v>152040</v>
      </c>
      <c r="D17" s="95">
        <f t="shared" si="2"/>
        <v>190000</v>
      </c>
      <c r="E17" s="34">
        <f t="shared" si="3"/>
        <v>55.54905859</v>
      </c>
      <c r="F17" s="35">
        <f t="shared" si="4"/>
        <v>1021.505376</v>
      </c>
      <c r="G17" s="96"/>
      <c r="H17" s="12">
        <v>215.0</v>
      </c>
      <c r="I17" s="12">
        <v>208.0</v>
      </c>
      <c r="J17" s="36">
        <f>700*K17</f>
        <v>130200</v>
      </c>
      <c r="K17" s="12">
        <v>186.0</v>
      </c>
      <c r="L17" s="69">
        <f t="shared" si="5"/>
        <v>21840</v>
      </c>
      <c r="M17" s="179">
        <f t="shared" si="6"/>
        <v>22</v>
      </c>
      <c r="N17" s="68"/>
      <c r="O17" s="39">
        <f t="shared" si="7"/>
        <v>10.57692308</v>
      </c>
      <c r="P17" s="70">
        <f t="shared" si="8"/>
        <v>96.74418605</v>
      </c>
      <c r="Q17" s="40">
        <f t="shared" si="9"/>
        <v>89.42307692</v>
      </c>
      <c r="R17" s="35">
        <f t="shared" si="10"/>
        <v>0</v>
      </c>
      <c r="S17" s="35">
        <f t="shared" si="11"/>
        <v>3.255813953</v>
      </c>
      <c r="T17" s="3"/>
      <c r="U17" s="3"/>
      <c r="V17" s="3"/>
      <c r="W17" s="3"/>
      <c r="X17" s="3"/>
      <c r="Y17" s="3"/>
      <c r="Z17" s="3"/>
    </row>
    <row r="18">
      <c r="A18" s="7" t="s">
        <v>78</v>
      </c>
      <c r="B18" s="12">
        <v>1993599.0</v>
      </c>
      <c r="C18" s="94">
        <f t="shared" si="1"/>
        <v>930345</v>
      </c>
      <c r="D18" s="95">
        <f t="shared" si="2"/>
        <v>1063254</v>
      </c>
      <c r="E18" s="34">
        <f t="shared" si="3"/>
        <v>53.33339353</v>
      </c>
      <c r="F18" s="35">
        <f t="shared" si="4"/>
        <v>1160.757642</v>
      </c>
      <c r="G18" s="96"/>
      <c r="H18" s="12">
        <v>1061.0</v>
      </c>
      <c r="I18" s="12">
        <v>1009.0</v>
      </c>
      <c r="J18" s="36">
        <f>900*K18</f>
        <v>824400</v>
      </c>
      <c r="K18" s="12">
        <v>916.0</v>
      </c>
      <c r="L18" s="69">
        <f t="shared" si="5"/>
        <v>105945</v>
      </c>
      <c r="M18" s="179">
        <f t="shared" si="6"/>
        <v>93</v>
      </c>
      <c r="N18" s="68"/>
      <c r="O18" s="39">
        <f t="shared" si="7"/>
        <v>9.217046581</v>
      </c>
      <c r="P18" s="70">
        <f t="shared" si="8"/>
        <v>95.09896324</v>
      </c>
      <c r="Q18" s="40">
        <f t="shared" si="9"/>
        <v>90.78295342</v>
      </c>
      <c r="R18" s="35">
        <f t="shared" si="10"/>
        <v>0</v>
      </c>
      <c r="S18" s="35">
        <f t="shared" si="11"/>
        <v>4.901036758</v>
      </c>
      <c r="T18" s="3"/>
      <c r="U18" s="3"/>
      <c r="V18" s="3"/>
      <c r="W18" s="3"/>
      <c r="X18" s="3"/>
      <c r="Y18" s="3"/>
      <c r="Z18" s="3"/>
    </row>
    <row r="19">
      <c r="A19" s="7" t="s">
        <v>107</v>
      </c>
      <c r="B19" s="12">
        <v>11597.0</v>
      </c>
      <c r="C19" s="94">
        <f t="shared" si="1"/>
        <v>6315</v>
      </c>
      <c r="D19" s="95">
        <f t="shared" si="2"/>
        <v>5282</v>
      </c>
      <c r="E19" s="34">
        <f t="shared" si="3"/>
        <v>45.54626196</v>
      </c>
      <c r="F19" s="35">
        <f t="shared" si="4"/>
        <v>1760.666667</v>
      </c>
      <c r="G19" s="96"/>
      <c r="H19" s="12">
        <v>3.0</v>
      </c>
      <c r="I19" s="12">
        <v>3.0</v>
      </c>
      <c r="J19" s="36">
        <f>2000*K19</f>
        <v>6000</v>
      </c>
      <c r="K19" s="12">
        <v>3.0</v>
      </c>
      <c r="L19" s="69">
        <f t="shared" si="5"/>
        <v>315</v>
      </c>
      <c r="M19" s="179">
        <f t="shared" si="6"/>
        <v>0</v>
      </c>
      <c r="N19" s="68"/>
      <c r="O19" s="39">
        <f t="shared" si="7"/>
        <v>0</v>
      </c>
      <c r="P19" s="70">
        <f t="shared" si="8"/>
        <v>100</v>
      </c>
      <c r="Q19" s="40">
        <f t="shared" si="9"/>
        <v>100</v>
      </c>
      <c r="R19" s="35">
        <f t="shared" si="10"/>
        <v>0</v>
      </c>
      <c r="S19" s="35">
        <f t="shared" si="11"/>
        <v>0</v>
      </c>
      <c r="T19" s="3"/>
      <c r="U19" s="3"/>
      <c r="V19" s="3"/>
      <c r="W19" s="3"/>
      <c r="X19" s="3"/>
      <c r="Y19" s="3"/>
      <c r="Z19" s="3"/>
    </row>
    <row r="20">
      <c r="A20" s="7" t="s">
        <v>79</v>
      </c>
      <c r="B20" s="12">
        <v>5697.0</v>
      </c>
      <c r="C20" s="94">
        <f t="shared" si="1"/>
        <v>2415</v>
      </c>
      <c r="D20" s="95">
        <f t="shared" si="2"/>
        <v>3282</v>
      </c>
      <c r="E20" s="34">
        <f t="shared" si="3"/>
        <v>57.60926804</v>
      </c>
      <c r="F20" s="35">
        <f t="shared" si="4"/>
        <v>1094</v>
      </c>
      <c r="G20" s="96"/>
      <c r="H20" s="12">
        <v>3.0</v>
      </c>
      <c r="I20" s="12">
        <v>3.0</v>
      </c>
      <c r="J20" s="36">
        <f t="shared" ref="J20:J21" si="12">K20*700</f>
        <v>2100</v>
      </c>
      <c r="K20" s="12">
        <v>3.0</v>
      </c>
      <c r="L20" s="69">
        <f t="shared" si="5"/>
        <v>315</v>
      </c>
      <c r="M20" s="179">
        <f t="shared" si="6"/>
        <v>0</v>
      </c>
      <c r="N20" s="68"/>
      <c r="O20" s="39">
        <f t="shared" si="7"/>
        <v>0</v>
      </c>
      <c r="P20" s="70">
        <f t="shared" si="8"/>
        <v>100</v>
      </c>
      <c r="Q20" s="40">
        <f t="shared" si="9"/>
        <v>100</v>
      </c>
      <c r="R20" s="35">
        <f t="shared" si="10"/>
        <v>0</v>
      </c>
      <c r="S20" s="35">
        <f t="shared" si="11"/>
        <v>0</v>
      </c>
      <c r="T20" s="3"/>
      <c r="U20" s="3"/>
      <c r="V20" s="3"/>
      <c r="W20" s="3"/>
      <c r="X20" s="3"/>
      <c r="Y20" s="3"/>
      <c r="Z20" s="3"/>
    </row>
    <row r="21">
      <c r="A21" s="7" t="s">
        <v>82</v>
      </c>
      <c r="B21" s="12">
        <v>131250.0</v>
      </c>
      <c r="C21" s="94">
        <f t="shared" si="1"/>
        <v>47495</v>
      </c>
      <c r="D21" s="95">
        <f t="shared" si="2"/>
        <v>83755</v>
      </c>
      <c r="E21" s="34">
        <f t="shared" si="3"/>
        <v>63.81333333</v>
      </c>
      <c r="F21" s="35">
        <f t="shared" si="4"/>
        <v>1419.576271</v>
      </c>
      <c r="G21" s="96"/>
      <c r="H21" s="12">
        <v>60.0</v>
      </c>
      <c r="I21" s="12">
        <v>59.0</v>
      </c>
      <c r="J21" s="36">
        <f t="shared" si="12"/>
        <v>41300</v>
      </c>
      <c r="K21" s="12">
        <v>59.0</v>
      </c>
      <c r="L21" s="69">
        <f t="shared" si="5"/>
        <v>6195</v>
      </c>
      <c r="M21" s="179">
        <f t="shared" si="6"/>
        <v>0</v>
      </c>
      <c r="N21" s="68"/>
      <c r="O21" s="39">
        <f t="shared" si="7"/>
        <v>0</v>
      </c>
      <c r="P21" s="70">
        <f t="shared" si="8"/>
        <v>98.33333333</v>
      </c>
      <c r="Q21" s="40">
        <f t="shared" si="9"/>
        <v>100</v>
      </c>
      <c r="R21" s="35">
        <f t="shared" si="10"/>
        <v>0</v>
      </c>
      <c r="S21" s="35">
        <f t="shared" si="11"/>
        <v>1.666666667</v>
      </c>
      <c r="T21" s="3"/>
      <c r="U21" s="3"/>
      <c r="V21" s="3"/>
      <c r="W21" s="3"/>
      <c r="X21" s="3"/>
      <c r="Y21" s="3"/>
      <c r="Z21" s="3"/>
    </row>
    <row r="22">
      <c r="A22" s="7" t="s">
        <v>83</v>
      </c>
      <c r="B22" s="12">
        <v>19590.0</v>
      </c>
      <c r="C22" s="94">
        <f t="shared" si="1"/>
        <v>6760</v>
      </c>
      <c r="D22" s="95">
        <f t="shared" si="2"/>
        <v>12830</v>
      </c>
      <c r="E22" s="34">
        <f t="shared" si="3"/>
        <v>65.49259826</v>
      </c>
      <c r="F22" s="35">
        <f t="shared" si="4"/>
        <v>1283</v>
      </c>
      <c r="G22" s="96"/>
      <c r="H22" s="12">
        <v>12.0</v>
      </c>
      <c r="I22" s="12">
        <v>12.0</v>
      </c>
      <c r="J22" s="36">
        <f>K22*550</f>
        <v>5500</v>
      </c>
      <c r="K22" s="12">
        <v>10.0</v>
      </c>
      <c r="L22" s="69">
        <f t="shared" si="5"/>
        <v>1260</v>
      </c>
      <c r="M22" s="179">
        <f t="shared" si="6"/>
        <v>2</v>
      </c>
      <c r="N22" s="68"/>
      <c r="O22" s="39">
        <f t="shared" si="7"/>
        <v>16.66666667</v>
      </c>
      <c r="P22" s="70">
        <f t="shared" si="8"/>
        <v>100</v>
      </c>
      <c r="Q22" s="40">
        <f t="shared" si="9"/>
        <v>83.33333333</v>
      </c>
      <c r="R22" s="35">
        <f t="shared" si="10"/>
        <v>0</v>
      </c>
      <c r="S22" s="35">
        <f t="shared" si="11"/>
        <v>0</v>
      </c>
      <c r="T22" s="3"/>
      <c r="U22" s="3"/>
      <c r="V22" s="3"/>
      <c r="W22" s="3"/>
      <c r="X22" s="3"/>
      <c r="Y22" s="3"/>
      <c r="Z22" s="3"/>
    </row>
    <row r="23">
      <c r="A23" s="7" t="s">
        <v>91</v>
      </c>
      <c r="B23" s="12">
        <v>118375.0</v>
      </c>
      <c r="C23" s="94">
        <f t="shared" si="1"/>
        <v>66770</v>
      </c>
      <c r="D23" s="95">
        <f t="shared" si="2"/>
        <v>51605</v>
      </c>
      <c r="E23" s="34">
        <f t="shared" si="3"/>
        <v>43.59450898</v>
      </c>
      <c r="F23" s="35">
        <f t="shared" si="4"/>
        <v>243.4198113</v>
      </c>
      <c r="G23" s="96"/>
      <c r="H23" s="12">
        <v>223.0</v>
      </c>
      <c r="I23" s="12">
        <v>222.0</v>
      </c>
      <c r="J23" s="36">
        <f>K23*205</f>
        <v>43460</v>
      </c>
      <c r="K23" s="12">
        <v>212.0</v>
      </c>
      <c r="L23" s="69">
        <f t="shared" si="5"/>
        <v>23310</v>
      </c>
      <c r="M23" s="179">
        <f t="shared" si="6"/>
        <v>10</v>
      </c>
      <c r="N23" s="68"/>
      <c r="O23" s="39">
        <f t="shared" si="7"/>
        <v>4.504504505</v>
      </c>
      <c r="P23" s="70">
        <f t="shared" si="8"/>
        <v>99.55156951</v>
      </c>
      <c r="Q23" s="40">
        <f t="shared" si="9"/>
        <v>95.4954955</v>
      </c>
      <c r="R23" s="35">
        <f t="shared" si="10"/>
        <v>0</v>
      </c>
      <c r="S23" s="35">
        <f t="shared" si="11"/>
        <v>0.4484304933</v>
      </c>
      <c r="T23" s="3"/>
      <c r="U23" s="3"/>
      <c r="V23" s="3"/>
      <c r="W23" s="3"/>
      <c r="X23" s="3"/>
      <c r="Y23" s="3"/>
      <c r="Z23" s="3"/>
    </row>
    <row r="24">
      <c r="A24" s="108" t="s">
        <v>62</v>
      </c>
      <c r="B24" s="151">
        <f t="shared" ref="B24:D24" si="13">SUM(B4:B23)</f>
        <v>5914081</v>
      </c>
      <c r="C24" s="151">
        <f t="shared" si="13"/>
        <v>2521400</v>
      </c>
      <c r="D24" s="151">
        <f t="shared" si="13"/>
        <v>3392681</v>
      </c>
      <c r="E24" s="152"/>
      <c r="F24" s="152"/>
      <c r="G24" s="78"/>
      <c r="H24" s="151">
        <f t="shared" ref="H24:N24" si="14">SUM(H4:H23)</f>
        <v>4675</v>
      </c>
      <c r="I24" s="151">
        <f t="shared" si="14"/>
        <v>4478</v>
      </c>
      <c r="J24" s="151">
        <f t="shared" si="14"/>
        <v>2051210</v>
      </c>
      <c r="K24" s="151">
        <f t="shared" si="14"/>
        <v>4135</v>
      </c>
      <c r="L24" s="151">
        <f t="shared" si="14"/>
        <v>470190</v>
      </c>
      <c r="M24" s="151">
        <f t="shared" si="14"/>
        <v>343</v>
      </c>
      <c r="N24" s="151">
        <f t="shared" si="14"/>
        <v>0</v>
      </c>
      <c r="O24" s="78"/>
      <c r="P24" s="78"/>
      <c r="Q24" s="78"/>
      <c r="R24" s="153">
        <f>SUM(R4:R23)</f>
        <v>0</v>
      </c>
      <c r="S24" s="78"/>
      <c r="T24" s="78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6" t="s">
        <v>1</v>
      </c>
      <c r="B27" s="3"/>
      <c r="C27" s="3"/>
      <c r="D27" s="46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2" t="s">
        <v>32</v>
      </c>
      <c r="B28" s="103">
        <f>B24</f>
        <v>5914081</v>
      </c>
      <c r="C28" s="3"/>
      <c r="D28" s="145" t="s">
        <v>50</v>
      </c>
      <c r="E28" s="146">
        <f>B29/K24</f>
        <v>496.0604595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2" t="s">
        <v>50</v>
      </c>
      <c r="B29" s="103">
        <f>J24</f>
        <v>2051210</v>
      </c>
      <c r="C29" s="3"/>
      <c r="D29" s="145" t="s">
        <v>35</v>
      </c>
      <c r="E29" s="146">
        <f>B31/K24</f>
        <v>752.7980653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2" t="s">
        <v>51</v>
      </c>
      <c r="B30" s="103">
        <f>L24</f>
        <v>470190</v>
      </c>
      <c r="C30" s="3"/>
      <c r="D30" s="145" t="s">
        <v>51</v>
      </c>
      <c r="E30" s="146">
        <f>L24/I24</f>
        <v>105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2" t="s">
        <v>52</v>
      </c>
      <c r="B31" s="106">
        <v>3112820.0</v>
      </c>
      <c r="C31" s="3"/>
      <c r="D31" s="145" t="s">
        <v>33</v>
      </c>
      <c r="E31" s="146">
        <f>B24/K24</f>
        <v>1430.249335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2" t="s">
        <v>64</v>
      </c>
      <c r="B32" s="106">
        <f>B28-(B29+B30+B31)</f>
        <v>279861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2" t="s">
        <v>38</v>
      </c>
      <c r="B33" s="106">
        <f>B32/B28*100</f>
        <v>4.73211307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92" t="s">
        <v>108</v>
      </c>
      <c r="B36" s="93" t="s">
        <v>39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4" t="s">
        <v>45</v>
      </c>
      <c r="B38" s="108" t="s">
        <v>3</v>
      </c>
      <c r="C38" s="108" t="s">
        <v>4</v>
      </c>
      <c r="D38" s="108" t="s">
        <v>5</v>
      </c>
      <c r="E38" s="109" t="s">
        <v>6</v>
      </c>
      <c r="F38" s="108" t="s">
        <v>7</v>
      </c>
      <c r="G38" s="108" t="s">
        <v>9</v>
      </c>
      <c r="H38" s="108" t="s">
        <v>11</v>
      </c>
      <c r="I38" s="108" t="s">
        <v>12</v>
      </c>
      <c r="J38" s="108" t="s">
        <v>42</v>
      </c>
      <c r="K38" s="108" t="s">
        <v>43</v>
      </c>
      <c r="L38" s="109" t="s">
        <v>15</v>
      </c>
      <c r="M38" s="108" t="s">
        <v>53</v>
      </c>
      <c r="N38" s="180" t="s">
        <v>109</v>
      </c>
      <c r="O38" s="3"/>
      <c r="P38" s="45">
        <v>181730.2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0" t="s">
        <v>24</v>
      </c>
      <c r="B39" s="111">
        <f>859750+12990+31857.89+5598</f>
        <v>910195.89</v>
      </c>
      <c r="C39" s="112">
        <f t="shared" ref="C39:C53" si="15">K39+H39</f>
        <v>551316.7</v>
      </c>
      <c r="D39" s="113">
        <f t="shared" ref="D39:D54" si="16">B39-C39</f>
        <v>358879.19</v>
      </c>
      <c r="E39" s="34">
        <f t="shared" ref="E39:E53" si="17">D39/B39*100</f>
        <v>39.42878604</v>
      </c>
      <c r="F39" s="114">
        <f t="shared" ref="F39:F53" si="18">D39/I39</f>
        <v>372.2813174</v>
      </c>
      <c r="G39" s="115">
        <f>966+10+2+17</f>
        <v>995</v>
      </c>
      <c r="H39" s="36">
        <f>250*I39</f>
        <v>241000</v>
      </c>
      <c r="I39" s="116">
        <f>914+10+6+34</f>
        <v>964</v>
      </c>
      <c r="J39" s="36">
        <v>71.0</v>
      </c>
      <c r="K39" s="117">
        <f>255255.48+2109.02 
+  52952.2 </f>
        <v>310316.7</v>
      </c>
      <c r="L39" s="118">
        <f t="shared" ref="L39:L53" si="19">J39/G39*100</f>
        <v>7.135678392</v>
      </c>
      <c r="M39" s="155">
        <f>5.12+140467.56
+  52952.2 </f>
        <v>193424.88</v>
      </c>
      <c r="N39" s="181">
        <f>J39*999</f>
        <v>70929</v>
      </c>
      <c r="O39" s="159">
        <f t="shared" ref="O39:O53" si="20">B39/M39</f>
        <v>4.705681555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0" t="s">
        <v>25</v>
      </c>
      <c r="B40" s="111">
        <f>354068+136085.68</f>
        <v>490153.68</v>
      </c>
      <c r="C40" s="112">
        <f t="shared" si="15"/>
        <v>363510.24</v>
      </c>
      <c r="D40" s="113">
        <f t="shared" si="16"/>
        <v>126643.44</v>
      </c>
      <c r="E40" s="34">
        <f t="shared" si="17"/>
        <v>25.83749652</v>
      </c>
      <c r="F40" s="114">
        <f t="shared" si="18"/>
        <v>325.5615424</v>
      </c>
      <c r="G40" s="115">
        <f>329+97</f>
        <v>426</v>
      </c>
      <c r="H40" s="36">
        <f>350*I40</f>
        <v>136150</v>
      </c>
      <c r="I40" s="116">
        <f>294+95</f>
        <v>389</v>
      </c>
      <c r="J40" s="36">
        <f t="shared" ref="J40:J41" si="21">G40-I40</f>
        <v>37</v>
      </c>
      <c r="K40" s="117">
        <f>62992.8+42152.95 +  122214.49 </f>
        <v>227360.24</v>
      </c>
      <c r="L40" s="118">
        <f t="shared" si="19"/>
        <v>8.685446009</v>
      </c>
      <c r="M40" s="155">
        <f>20714.9+  122214.49 </f>
        <v>142929.39</v>
      </c>
      <c r="N40" s="181">
        <f>J40*1119</f>
        <v>41403</v>
      </c>
      <c r="O40" s="159">
        <f t="shared" si="20"/>
        <v>3.429341439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0" t="s">
        <v>26</v>
      </c>
      <c r="B41" s="111">
        <f>18652.6</f>
        <v>18652.6</v>
      </c>
      <c r="C41" s="112">
        <f t="shared" si="15"/>
        <v>14721.82</v>
      </c>
      <c r="D41" s="113">
        <f t="shared" si="16"/>
        <v>3930.78</v>
      </c>
      <c r="E41" s="34">
        <f t="shared" si="17"/>
        <v>21.07363049</v>
      </c>
      <c r="F41" s="114">
        <f t="shared" si="18"/>
        <v>327.565</v>
      </c>
      <c r="G41" s="115">
        <v>15.0</v>
      </c>
      <c r="H41" s="36">
        <f> 900*I41</f>
        <v>10800</v>
      </c>
      <c r="I41" s="116">
        <v>12.0</v>
      </c>
      <c r="J41" s="36">
        <f t="shared" si="21"/>
        <v>3</v>
      </c>
      <c r="K41" s="117">
        <f>3921.82</f>
        <v>3921.82</v>
      </c>
      <c r="L41" s="118">
        <f t="shared" si="19"/>
        <v>20</v>
      </c>
      <c r="M41" s="155">
        <f>28.39</f>
        <v>28.39</v>
      </c>
      <c r="N41" s="181">
        <f>J41*1799</f>
        <v>5397</v>
      </c>
      <c r="O41" s="159">
        <f t="shared" si="20"/>
        <v>657.0130328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0" t="s">
        <v>27</v>
      </c>
      <c r="B42" s="111">
        <f>386728+6471.24+12569.92+1349</f>
        <v>407118.16</v>
      </c>
      <c r="C42" s="112">
        <f t="shared" si="15"/>
        <v>450735.12</v>
      </c>
      <c r="D42" s="113">
        <f t="shared" si="16"/>
        <v>-43616.96</v>
      </c>
      <c r="E42" s="34">
        <f t="shared" si="17"/>
        <v>-10.71358743</v>
      </c>
      <c r="F42" s="114">
        <f t="shared" si="18"/>
        <v>-47.51302832</v>
      </c>
      <c r="G42" s="115">
        <f>921+10+1+16</f>
        <v>948</v>
      </c>
      <c r="H42" s="36">
        <f>220*I42</f>
        <v>201960</v>
      </c>
      <c r="I42" s="116">
        <f>875+10+30+3</f>
        <v>918</v>
      </c>
      <c r="J42" s="36">
        <v>63.0</v>
      </c>
      <c r="K42" s="117">
        <f>239484.41+4677.28+4397.29+216.14 </f>
        <v>248775.12</v>
      </c>
      <c r="L42" s="118">
        <f t="shared" si="19"/>
        <v>6.64556962</v>
      </c>
      <c r="M42" s="155">
        <f>3777.34+180565.33+2703.37</f>
        <v>187046.04</v>
      </c>
      <c r="N42" s="181">
        <f>J42*499</f>
        <v>31437</v>
      </c>
      <c r="O42" s="159">
        <f t="shared" si="20"/>
        <v>2.176566582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0" t="s">
        <v>28</v>
      </c>
      <c r="B43" s="111">
        <f>53830.78</f>
        <v>53830.78</v>
      </c>
      <c r="C43" s="112">
        <f t="shared" si="15"/>
        <v>75216.46</v>
      </c>
      <c r="D43" s="113">
        <f t="shared" si="16"/>
        <v>-21385.68</v>
      </c>
      <c r="E43" s="34">
        <f t="shared" si="17"/>
        <v>-39.72760566</v>
      </c>
      <c r="F43" s="114">
        <f t="shared" si="18"/>
        <v>-411.2630769</v>
      </c>
      <c r="G43" s="115">
        <v>56.0</v>
      </c>
      <c r="H43" s="36">
        <f>250*I43</f>
        <v>13000</v>
      </c>
      <c r="I43" s="116">
        <v>52.0</v>
      </c>
      <c r="J43" s="36">
        <f t="shared" ref="J43:J53" si="22">G43-I43</f>
        <v>4</v>
      </c>
      <c r="K43" s="117">
        <f>62216.46</f>
        <v>62216.46</v>
      </c>
      <c r="L43" s="118">
        <f t="shared" si="19"/>
        <v>7.142857143</v>
      </c>
      <c r="M43" s="155">
        <f>53194.72</f>
        <v>53194.72</v>
      </c>
      <c r="N43" s="181">
        <f>J43*1049</f>
        <v>4196</v>
      </c>
      <c r="O43" s="159">
        <f t="shared" si="20"/>
        <v>1.011957202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0" t="s">
        <v>29</v>
      </c>
      <c r="B44" s="111">
        <f>382745</f>
        <v>382745</v>
      </c>
      <c r="C44" s="112">
        <f t="shared" si="15"/>
        <v>214718.53</v>
      </c>
      <c r="D44" s="113">
        <f t="shared" si="16"/>
        <v>168026.47</v>
      </c>
      <c r="E44" s="34">
        <f t="shared" si="17"/>
        <v>43.9003697</v>
      </c>
      <c r="F44" s="114">
        <f t="shared" si="18"/>
        <v>498.5948665</v>
      </c>
      <c r="G44" s="115">
        <v>365.0</v>
      </c>
      <c r="H44" s="36">
        <f>320*I44</f>
        <v>107840</v>
      </c>
      <c r="I44" s="116">
        <v>337.0</v>
      </c>
      <c r="J44" s="36">
        <f t="shared" si="22"/>
        <v>28</v>
      </c>
      <c r="K44" s="117">
        <f>106878.53 </f>
        <v>106878.53</v>
      </c>
      <c r="L44" s="118">
        <f t="shared" si="19"/>
        <v>7.671232877</v>
      </c>
      <c r="M44" s="97">
        <f>42214.1</f>
        <v>42214.1</v>
      </c>
      <c r="N44" s="181">
        <f>J44*1249</f>
        <v>34972</v>
      </c>
      <c r="O44" s="159">
        <f t="shared" si="20"/>
        <v>9.066757316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0" t="s">
        <v>30</v>
      </c>
      <c r="B45" s="111">
        <f>25162.32</f>
        <v>25162.32</v>
      </c>
      <c r="C45" s="112">
        <f t="shared" si="15"/>
        <v>21247.62</v>
      </c>
      <c r="D45" s="113">
        <f t="shared" si="16"/>
        <v>3914.7</v>
      </c>
      <c r="E45" s="34">
        <f t="shared" si="17"/>
        <v>15.5577864</v>
      </c>
      <c r="F45" s="114">
        <f t="shared" si="18"/>
        <v>206.0368421</v>
      </c>
      <c r="G45" s="115">
        <v>27.0</v>
      </c>
      <c r="H45" s="36">
        <f>500*I45</f>
        <v>9500</v>
      </c>
      <c r="I45" s="116">
        <v>19.0</v>
      </c>
      <c r="J45" s="36">
        <f t="shared" si="22"/>
        <v>8</v>
      </c>
      <c r="K45" s="117">
        <f>11747.62 </f>
        <v>11747.62</v>
      </c>
      <c r="L45" s="118">
        <f t="shared" si="19"/>
        <v>29.62962963</v>
      </c>
      <c r="M45" s="155">
        <f>6685.63</f>
        <v>6685.63</v>
      </c>
      <c r="N45" s="181">
        <f>J45*1349</f>
        <v>10792</v>
      </c>
      <c r="O45" s="159">
        <f t="shared" si="20"/>
        <v>3.763642319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0" t="s">
        <v>31</v>
      </c>
      <c r="B46" s="111">
        <f>58797.32</f>
        <v>58797.32</v>
      </c>
      <c r="C46" s="112">
        <f t="shared" si="15"/>
        <v>57142.34</v>
      </c>
      <c r="D46" s="113">
        <f t="shared" si="16"/>
        <v>1654.98</v>
      </c>
      <c r="E46" s="34">
        <f t="shared" si="17"/>
        <v>2.814720127</v>
      </c>
      <c r="F46" s="114">
        <f t="shared" si="18"/>
        <v>44.72918919</v>
      </c>
      <c r="G46" s="115">
        <v>54.0</v>
      </c>
      <c r="H46" s="36">
        <f>800*I46</f>
        <v>29600</v>
      </c>
      <c r="I46" s="116">
        <v>37.0</v>
      </c>
      <c r="J46" s="36">
        <f t="shared" si="22"/>
        <v>17</v>
      </c>
      <c r="K46" s="117">
        <f>27542.34 </f>
        <v>27542.34</v>
      </c>
      <c r="L46" s="118">
        <f t="shared" si="19"/>
        <v>31.48148148</v>
      </c>
      <c r="M46" s="155">
        <f>15887.87</f>
        <v>15887.87</v>
      </c>
      <c r="N46" s="181">
        <f>J46*1899</f>
        <v>32283</v>
      </c>
      <c r="O46" s="159">
        <f t="shared" si="20"/>
        <v>3.700767944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0" t="s">
        <v>78</v>
      </c>
      <c r="B47" s="111">
        <f>27269.06+28786</f>
        <v>56055.06</v>
      </c>
      <c r="C47" s="112">
        <f t="shared" si="15"/>
        <v>54161.79</v>
      </c>
      <c r="D47" s="113">
        <f t="shared" si="16"/>
        <v>1893.27</v>
      </c>
      <c r="E47" s="34">
        <f t="shared" si="17"/>
        <v>3.377518461</v>
      </c>
      <c r="F47" s="114">
        <f t="shared" si="18"/>
        <v>63.109</v>
      </c>
      <c r="G47" s="115">
        <f>71+14</f>
        <v>85</v>
      </c>
      <c r="H47" s="36">
        <f>1000*I47</f>
        <v>30000</v>
      </c>
      <c r="I47" s="116">
        <f>16+14</f>
        <v>30</v>
      </c>
      <c r="J47" s="36">
        <f t="shared" si="22"/>
        <v>55</v>
      </c>
      <c r="K47" s="117">
        <f>20618.87 +3542.92
</f>
        <v>24161.79</v>
      </c>
      <c r="L47" s="118">
        <f t="shared" si="19"/>
        <v>64.70588235</v>
      </c>
      <c r="M47" s="155">
        <f>1567.21</f>
        <v>1567.21</v>
      </c>
      <c r="N47" s="181">
        <f>J47*1999</f>
        <v>109945</v>
      </c>
      <c r="O47" s="159">
        <f t="shared" si="20"/>
        <v>35.76742109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0" t="s">
        <v>92</v>
      </c>
      <c r="B48" s="111">
        <f>59302</f>
        <v>59302</v>
      </c>
      <c r="C48" s="112">
        <f t="shared" si="15"/>
        <v>40177.82</v>
      </c>
      <c r="D48" s="113">
        <f t="shared" si="16"/>
        <v>19124.18</v>
      </c>
      <c r="E48" s="34">
        <f t="shared" si="17"/>
        <v>32.24879431</v>
      </c>
      <c r="F48" s="114">
        <f t="shared" si="18"/>
        <v>187.4919608</v>
      </c>
      <c r="G48" s="115">
        <v>107.0</v>
      </c>
      <c r="H48" s="36">
        <f>200*I48</f>
        <v>20400</v>
      </c>
      <c r="I48" s="116">
        <v>102.0</v>
      </c>
      <c r="J48" s="36">
        <f t="shared" si="22"/>
        <v>5</v>
      </c>
      <c r="K48" s="117">
        <f>19777.82</f>
        <v>19777.82</v>
      </c>
      <c r="L48" s="118">
        <f t="shared" si="19"/>
        <v>4.672897196</v>
      </c>
      <c r="M48" s="155">
        <f>10848.42</f>
        <v>10848.42</v>
      </c>
      <c r="N48" s="181">
        <f>J48*599</f>
        <v>2995</v>
      </c>
      <c r="O48" s="159">
        <f t="shared" si="20"/>
        <v>5.466418151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0" t="s">
        <v>93</v>
      </c>
      <c r="B49" s="111">
        <f>50334.02</f>
        <v>50334.02</v>
      </c>
      <c r="C49" s="112">
        <f t="shared" si="15"/>
        <v>27085.78</v>
      </c>
      <c r="D49" s="113">
        <f t="shared" si="16"/>
        <v>23248.24</v>
      </c>
      <c r="E49" s="34">
        <f t="shared" si="17"/>
        <v>46.18792618</v>
      </c>
      <c r="F49" s="114">
        <f t="shared" si="18"/>
        <v>628.3308108</v>
      </c>
      <c r="G49" s="115">
        <v>37.0</v>
      </c>
      <c r="H49" s="36">
        <f>(270+220)*I49</f>
        <v>18130</v>
      </c>
      <c r="I49" s="116">
        <v>37.0</v>
      </c>
      <c r="J49" s="36">
        <f t="shared" si="22"/>
        <v>0</v>
      </c>
      <c r="K49" s="117">
        <f>8955.78 
</f>
        <v>8955.78</v>
      </c>
      <c r="L49" s="118">
        <f t="shared" si="19"/>
        <v>0</v>
      </c>
      <c r="M49" s="155">
        <f>1257.24</f>
        <v>1257.24</v>
      </c>
      <c r="N49" s="161"/>
      <c r="O49" s="159">
        <f t="shared" si="20"/>
        <v>40.03533136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0" t="s">
        <v>94</v>
      </c>
      <c r="B50" s="111">
        <f>21990</f>
        <v>21990</v>
      </c>
      <c r="C50" s="112">
        <f t="shared" si="15"/>
        <v>10184.07</v>
      </c>
      <c r="D50" s="113">
        <f t="shared" si="16"/>
        <v>11805.93</v>
      </c>
      <c r="E50" s="34">
        <f t="shared" si="17"/>
        <v>53.68772169</v>
      </c>
      <c r="F50" s="114">
        <f t="shared" si="18"/>
        <v>1180.593</v>
      </c>
      <c r="G50" s="115">
        <v>12.0</v>
      </c>
      <c r="H50" s="36">
        <f>(270+350)*I50</f>
        <v>6200</v>
      </c>
      <c r="I50" s="116">
        <v>10.0</v>
      </c>
      <c r="J50" s="36">
        <f t="shared" si="22"/>
        <v>2</v>
      </c>
      <c r="K50" s="117">
        <f>3984.07 </f>
        <v>3984.07</v>
      </c>
      <c r="L50" s="118">
        <f t="shared" si="19"/>
        <v>16.66666667</v>
      </c>
      <c r="M50" s="155">
        <f>307.29</f>
        <v>307.29</v>
      </c>
      <c r="N50" s="181">
        <f>J50*2199</f>
        <v>4398</v>
      </c>
      <c r="O50" s="159">
        <f t="shared" si="20"/>
        <v>71.56106609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0" t="s">
        <v>95</v>
      </c>
      <c r="B51" s="111">
        <f>4398</f>
        <v>4398</v>
      </c>
      <c r="C51" s="112">
        <f t="shared" si="15"/>
        <v>2080.93</v>
      </c>
      <c r="D51" s="113">
        <f t="shared" si="16"/>
        <v>2317.07</v>
      </c>
      <c r="E51" s="34">
        <f t="shared" si="17"/>
        <v>52.68462938</v>
      </c>
      <c r="F51" s="114">
        <f t="shared" si="18"/>
        <v>1158.535</v>
      </c>
      <c r="G51" s="115">
        <v>2.0</v>
      </c>
      <c r="H51" s="36">
        <f>(270+320)*I51</f>
        <v>1180</v>
      </c>
      <c r="I51" s="116">
        <v>2.0</v>
      </c>
      <c r="J51" s="36">
        <f t="shared" si="22"/>
        <v>0</v>
      </c>
      <c r="K51" s="117">
        <f>900.93 </f>
        <v>900.93</v>
      </c>
      <c r="L51" s="118">
        <f t="shared" si="19"/>
        <v>0</v>
      </c>
      <c r="M51" s="155">
        <f>377.9</f>
        <v>377.9</v>
      </c>
      <c r="N51" s="181">
        <f>J51*999</f>
        <v>0</v>
      </c>
      <c r="O51" s="159">
        <f t="shared" si="20"/>
        <v>11.63799947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0" t="s">
        <v>96</v>
      </c>
      <c r="B52" s="111">
        <f>4797+19979.29</f>
        <v>24776.29</v>
      </c>
      <c r="C52" s="112">
        <f t="shared" si="15"/>
        <v>19409.05</v>
      </c>
      <c r="D52" s="113">
        <f t="shared" si="16"/>
        <v>5367.24</v>
      </c>
      <c r="E52" s="34">
        <f t="shared" si="17"/>
        <v>21.66280747</v>
      </c>
      <c r="F52" s="114">
        <f t="shared" si="18"/>
        <v>383.3742857</v>
      </c>
      <c r="G52" s="115">
        <v>15.0</v>
      </c>
      <c r="H52" s="36">
        <f>(350+220)*I52</f>
        <v>7980</v>
      </c>
      <c r="I52" s="116">
        <v>14.0</v>
      </c>
      <c r="J52" s="36">
        <f t="shared" si="22"/>
        <v>1</v>
      </c>
      <c r="K52" s="117">
        <f>10749.87 +679.18
</f>
        <v>11429.05</v>
      </c>
      <c r="L52" s="118">
        <f t="shared" si="19"/>
        <v>6.666666667</v>
      </c>
      <c r="M52" s="155">
        <f>184.36+7523.58</f>
        <v>7707.94</v>
      </c>
      <c r="N52" s="181">
        <f>J52*1499</f>
        <v>1499</v>
      </c>
      <c r="O52" s="159">
        <f t="shared" si="20"/>
        <v>3.214385426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0" t="s">
        <v>97</v>
      </c>
      <c r="B53" s="111">
        <f>9196</f>
        <v>9196</v>
      </c>
      <c r="C53" s="112">
        <f t="shared" si="15"/>
        <v>4119.36</v>
      </c>
      <c r="D53" s="113">
        <f t="shared" si="16"/>
        <v>5076.64</v>
      </c>
      <c r="E53" s="34">
        <f t="shared" si="17"/>
        <v>55.20487168</v>
      </c>
      <c r="F53" s="114">
        <f t="shared" si="18"/>
        <v>1269.16</v>
      </c>
      <c r="G53" s="115">
        <v>4.0</v>
      </c>
      <c r="H53" s="36">
        <f>(350+320)*I53</f>
        <v>2680</v>
      </c>
      <c r="I53" s="116">
        <v>4.0</v>
      </c>
      <c r="J53" s="36">
        <f t="shared" si="22"/>
        <v>0</v>
      </c>
      <c r="K53" s="117">
        <f>1439.36</f>
        <v>1439.36</v>
      </c>
      <c r="L53" s="118">
        <f t="shared" si="19"/>
        <v>0</v>
      </c>
      <c r="M53" s="155">
        <f>463.65</f>
        <v>463.65</v>
      </c>
      <c r="N53" s="181">
        <f>J53*999</f>
        <v>0</v>
      </c>
      <c r="O53" s="159">
        <f t="shared" si="20"/>
        <v>19.83392645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62</v>
      </c>
      <c r="B54" s="45">
        <f t="shared" ref="B54:C54" si="23">SUM(B39:B53)</f>
        <v>2572707.12</v>
      </c>
      <c r="C54" s="45">
        <f t="shared" si="23"/>
        <v>1905827.63</v>
      </c>
      <c r="D54" s="45">
        <f t="shared" si="16"/>
        <v>666879.49</v>
      </c>
      <c r="E54" s="3"/>
      <c r="F54" s="3"/>
      <c r="G54" s="45">
        <f>SUM(G37:G53)</f>
        <v>3148</v>
      </c>
      <c r="H54" s="45">
        <f>SUM(H39:H53)</f>
        <v>836420</v>
      </c>
      <c r="I54" s="45">
        <f>SUM(I37:I53)</f>
        <v>2927</v>
      </c>
      <c r="J54" s="3"/>
      <c r="K54" s="45">
        <f>SUM(K39:K53)</f>
        <v>1069407.63</v>
      </c>
      <c r="L54" s="3"/>
      <c r="M54" s="45">
        <f>SUM(M37:M53)+  6563.51 </f>
        <v>670504.18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2" t="s">
        <v>32</v>
      </c>
      <c r="B57" s="106">
        <f>B54</f>
        <v>2572707.12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2" t="s">
        <v>50</v>
      </c>
      <c r="B58" s="106">
        <f>H54</f>
        <v>836420</v>
      </c>
      <c r="C58" s="3"/>
      <c r="D58" s="46" t="s">
        <v>63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2" t="s">
        <v>54</v>
      </c>
      <c r="B59" s="106">
        <f>K54-M54</f>
        <v>398903.45</v>
      </c>
      <c r="C59" s="3"/>
      <c r="D59" s="145" t="s">
        <v>50</v>
      </c>
      <c r="E59" s="146">
        <f>B58/I54</f>
        <v>285.760164</v>
      </c>
      <c r="F59" s="83">
        <v>0.39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2" t="s">
        <v>52</v>
      </c>
      <c r="B60" s="106">
        <f>M54</f>
        <v>670504.18</v>
      </c>
      <c r="C60" s="3"/>
      <c r="D60" s="145" t="s">
        <v>35</v>
      </c>
      <c r="E60" s="146">
        <f>B60/I54</f>
        <v>229.0755654</v>
      </c>
      <c r="F60" s="83">
        <v>0.1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2" t="s">
        <v>36</v>
      </c>
      <c r="B61" s="106">
        <f>B57-SUM(B58:B60)</f>
        <v>666879.49</v>
      </c>
      <c r="C61" s="3"/>
      <c r="D61" s="145" t="s">
        <v>84</v>
      </c>
      <c r="E61" s="146">
        <f>B59/I54</f>
        <v>136.2840622</v>
      </c>
      <c r="F61" s="157">
        <v>0.146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2" t="s">
        <v>38</v>
      </c>
      <c r="B62" s="120">
        <f>B61/B57*100</f>
        <v>25.92131397</v>
      </c>
      <c r="C62" s="3"/>
      <c r="D62" s="145" t="s">
        <v>33</v>
      </c>
      <c r="E62" s="146">
        <f>B57/I54</f>
        <v>878.9569935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92" t="s">
        <v>108</v>
      </c>
      <c r="B68" s="93" t="s">
        <v>66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4" t="s">
        <v>45</v>
      </c>
      <c r="B70" s="108" t="s">
        <v>3</v>
      </c>
      <c r="C70" s="108" t="s">
        <v>4</v>
      </c>
      <c r="D70" s="108" t="s">
        <v>5</v>
      </c>
      <c r="E70" s="109" t="s">
        <v>6</v>
      </c>
      <c r="F70" s="108" t="s">
        <v>7</v>
      </c>
      <c r="G70" s="108" t="s">
        <v>9</v>
      </c>
      <c r="H70" s="108" t="s">
        <v>11</v>
      </c>
      <c r="I70" s="108" t="s">
        <v>12</v>
      </c>
      <c r="J70" s="108" t="s">
        <v>42</v>
      </c>
      <c r="K70" s="108" t="s">
        <v>67</v>
      </c>
      <c r="L70" s="109" t="s">
        <v>15</v>
      </c>
      <c r="M70" s="108" t="s">
        <v>53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0" t="s">
        <v>24</v>
      </c>
      <c r="B71" s="111">
        <f>22271</f>
        <v>22271</v>
      </c>
      <c r="C71" s="112">
        <f t="shared" ref="C71:C83" si="24">K71+H71</f>
        <v>13366.53</v>
      </c>
      <c r="D71" s="113">
        <f t="shared" ref="D71:D83" si="25">B71-C71</f>
        <v>8904.47</v>
      </c>
      <c r="E71" s="34">
        <f t="shared" ref="E71:E83" si="26">D71/B71*100</f>
        <v>39.98235373</v>
      </c>
      <c r="F71" s="114">
        <f t="shared" ref="F71:F83" si="27">D71/I71</f>
        <v>445.2235</v>
      </c>
      <c r="G71" s="115">
        <v>32.0</v>
      </c>
      <c r="H71" s="36">
        <f>270*I71</f>
        <v>5400</v>
      </c>
      <c r="I71" s="116">
        <v>20.0</v>
      </c>
      <c r="J71" s="36">
        <f t="shared" ref="J71:J73" si="28">G71-I71</f>
        <v>12</v>
      </c>
      <c r="K71" s="117">
        <f>7966.53</f>
        <v>7966.53</v>
      </c>
      <c r="L71" s="118">
        <f t="shared" ref="L71:L72" si="29">J71/G71*100</f>
        <v>37.5</v>
      </c>
      <c r="M71" s="155">
        <f t="shared" ref="M71:M78" si="30">20%*B71</f>
        <v>4454.2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0" t="s">
        <v>25</v>
      </c>
      <c r="B72" s="111">
        <f>25576</f>
        <v>25576</v>
      </c>
      <c r="C72" s="112">
        <f t="shared" si="24"/>
        <v>15455.08</v>
      </c>
      <c r="D72" s="113">
        <f t="shared" si="25"/>
        <v>10120.92</v>
      </c>
      <c r="E72" s="34">
        <f t="shared" si="26"/>
        <v>39.57194245</v>
      </c>
      <c r="F72" s="114">
        <f t="shared" si="27"/>
        <v>506.046</v>
      </c>
      <c r="G72" s="115">
        <v>25.0</v>
      </c>
      <c r="H72" s="36">
        <f>350*I72</f>
        <v>7000</v>
      </c>
      <c r="I72" s="116">
        <v>20.0</v>
      </c>
      <c r="J72" s="36">
        <f t="shared" si="28"/>
        <v>5</v>
      </c>
      <c r="K72" s="117">
        <f>8455.08</f>
        <v>8455.08</v>
      </c>
      <c r="L72" s="118">
        <f t="shared" si="29"/>
        <v>20</v>
      </c>
      <c r="M72" s="155">
        <f t="shared" si="30"/>
        <v>5115.2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10" t="s">
        <v>26</v>
      </c>
      <c r="B73" s="111">
        <f>11194</f>
        <v>11194</v>
      </c>
      <c r="C73" s="112">
        <f t="shared" si="24"/>
        <v>9766.46</v>
      </c>
      <c r="D73" s="113">
        <f t="shared" si="25"/>
        <v>1427.54</v>
      </c>
      <c r="E73" s="34">
        <f t="shared" si="26"/>
        <v>12.75272467</v>
      </c>
      <c r="F73" s="114">
        <f t="shared" si="27"/>
        <v>237.9233333</v>
      </c>
      <c r="G73" s="115">
        <v>7.0</v>
      </c>
      <c r="H73" s="36">
        <f> 980*I73</f>
        <v>5880</v>
      </c>
      <c r="I73" s="116">
        <v>6.0</v>
      </c>
      <c r="J73" s="36">
        <f t="shared" si="28"/>
        <v>1</v>
      </c>
      <c r="K73" s="117">
        <f>3886.46</f>
        <v>3886.46</v>
      </c>
      <c r="L73" s="118">
        <v>0.0</v>
      </c>
      <c r="M73" s="155">
        <f t="shared" si="30"/>
        <v>2238.8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10" t="s">
        <v>27</v>
      </c>
      <c r="B74" s="111">
        <f>20114+1898</f>
        <v>22012</v>
      </c>
      <c r="C74" s="112">
        <f t="shared" si="24"/>
        <v>19673.8</v>
      </c>
      <c r="D74" s="113">
        <f t="shared" si="25"/>
        <v>2338.2</v>
      </c>
      <c r="E74" s="34">
        <f t="shared" si="26"/>
        <v>10.62238779</v>
      </c>
      <c r="F74" s="114">
        <f t="shared" si="27"/>
        <v>58.455</v>
      </c>
      <c r="G74" s="115">
        <v>53.0</v>
      </c>
      <c r="H74" s="36">
        <f>220*I74</f>
        <v>8800</v>
      </c>
      <c r="I74" s="116">
        <v>40.0</v>
      </c>
      <c r="J74" s="36">
        <f>G74-I74+2</f>
        <v>15</v>
      </c>
      <c r="K74" s="117">
        <f>10262.14+611.66</f>
        <v>10873.8</v>
      </c>
      <c r="L74" s="118">
        <f t="shared" ref="L74:L83" si="31">J74/G74*100</f>
        <v>28.30188679</v>
      </c>
      <c r="M74" s="155">
        <f t="shared" si="30"/>
        <v>4402.4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10" t="s">
        <v>28</v>
      </c>
      <c r="B75" s="111">
        <f>4446</f>
        <v>4446</v>
      </c>
      <c r="C75" s="112">
        <f t="shared" si="24"/>
        <v>2525.95</v>
      </c>
      <c r="D75" s="113">
        <f t="shared" si="25"/>
        <v>1920.05</v>
      </c>
      <c r="E75" s="34">
        <f t="shared" si="26"/>
        <v>43.1860099</v>
      </c>
      <c r="F75" s="114">
        <f t="shared" si="27"/>
        <v>480.0125</v>
      </c>
      <c r="G75" s="115">
        <v>6.0</v>
      </c>
      <c r="H75" s="36">
        <f>270*I75</f>
        <v>1080</v>
      </c>
      <c r="I75" s="116">
        <v>4.0</v>
      </c>
      <c r="J75" s="36">
        <f t="shared" ref="J75:J81" si="32">G75-I75</f>
        <v>2</v>
      </c>
      <c r="K75" s="117">
        <f>1445.95</f>
        <v>1445.95</v>
      </c>
      <c r="L75" s="118">
        <f t="shared" si="31"/>
        <v>33.33333333</v>
      </c>
      <c r="M75" s="155">
        <f t="shared" si="30"/>
        <v>889.2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10" t="s">
        <v>29</v>
      </c>
      <c r="B76" s="111">
        <f>14089</f>
        <v>14089</v>
      </c>
      <c r="C76" s="112">
        <f t="shared" si="24"/>
        <v>8600.8</v>
      </c>
      <c r="D76" s="113">
        <f t="shared" si="25"/>
        <v>5488.2</v>
      </c>
      <c r="E76" s="34">
        <f t="shared" si="26"/>
        <v>38.95379374</v>
      </c>
      <c r="F76" s="114">
        <f t="shared" si="27"/>
        <v>498.9272727</v>
      </c>
      <c r="G76" s="115">
        <v>21.0</v>
      </c>
      <c r="H76" s="36">
        <f>320*I76</f>
        <v>3520</v>
      </c>
      <c r="I76" s="116">
        <v>11.0</v>
      </c>
      <c r="J76" s="36">
        <f t="shared" si="32"/>
        <v>10</v>
      </c>
      <c r="K76" s="117">
        <f>5080.8</f>
        <v>5080.8</v>
      </c>
      <c r="L76" s="118">
        <f t="shared" si="31"/>
        <v>47.61904762</v>
      </c>
      <c r="M76" s="155">
        <f t="shared" si="30"/>
        <v>2817.8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10" t="s">
        <v>30</v>
      </c>
      <c r="B77" s="111">
        <f>2898</f>
        <v>2898</v>
      </c>
      <c r="C77" s="112">
        <f t="shared" si="24"/>
        <v>1831.78</v>
      </c>
      <c r="D77" s="113">
        <f t="shared" si="25"/>
        <v>1066.22</v>
      </c>
      <c r="E77" s="34">
        <f t="shared" si="26"/>
        <v>36.7915804</v>
      </c>
      <c r="F77" s="114">
        <f t="shared" si="27"/>
        <v>533.11</v>
      </c>
      <c r="G77" s="115">
        <v>4.0</v>
      </c>
      <c r="H77" s="36">
        <f>470*I77</f>
        <v>940</v>
      </c>
      <c r="I77" s="116">
        <v>2.0</v>
      </c>
      <c r="J77" s="36">
        <f t="shared" si="32"/>
        <v>2</v>
      </c>
      <c r="K77" s="117">
        <f>891.78</f>
        <v>891.78</v>
      </c>
      <c r="L77" s="118">
        <f t="shared" si="31"/>
        <v>50</v>
      </c>
      <c r="M77" s="155">
        <f t="shared" si="30"/>
        <v>579.6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0" t="s">
        <v>31</v>
      </c>
      <c r="B78" s="111">
        <f>3848</f>
        <v>3848</v>
      </c>
      <c r="C78" s="112">
        <f t="shared" si="24"/>
        <v>2515.18</v>
      </c>
      <c r="D78" s="113">
        <f t="shared" si="25"/>
        <v>1332.82</v>
      </c>
      <c r="E78" s="34">
        <f t="shared" si="26"/>
        <v>34.63669439</v>
      </c>
      <c r="F78" s="114">
        <f t="shared" si="27"/>
        <v>666.41</v>
      </c>
      <c r="G78" s="115">
        <v>2.0</v>
      </c>
      <c r="H78" s="36">
        <f>700*I78</f>
        <v>1400</v>
      </c>
      <c r="I78" s="116">
        <v>2.0</v>
      </c>
      <c r="J78" s="36">
        <f t="shared" si="32"/>
        <v>0</v>
      </c>
      <c r="K78" s="117">
        <f>1115.18</f>
        <v>1115.18</v>
      </c>
      <c r="L78" s="118">
        <f t="shared" si="31"/>
        <v>0</v>
      </c>
      <c r="M78" s="155">
        <f t="shared" si="30"/>
        <v>769.6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0" t="s">
        <v>78</v>
      </c>
      <c r="B79" s="111">
        <f>12294</f>
        <v>12294</v>
      </c>
      <c r="C79" s="112">
        <f t="shared" si="24"/>
        <v>10220.4</v>
      </c>
      <c r="D79" s="113">
        <f t="shared" si="25"/>
        <v>2073.6</v>
      </c>
      <c r="E79" s="34">
        <f t="shared" si="26"/>
        <v>16.86676428</v>
      </c>
      <c r="F79" s="114">
        <f t="shared" si="27"/>
        <v>345.6</v>
      </c>
      <c r="G79" s="115">
        <v>9.0</v>
      </c>
      <c r="H79" s="36">
        <f>1000*I79</f>
        <v>6000</v>
      </c>
      <c r="I79" s="116">
        <v>6.0</v>
      </c>
      <c r="J79" s="36">
        <f t="shared" si="32"/>
        <v>3</v>
      </c>
      <c r="K79" s="117">
        <f>4220.4
</f>
        <v>4220.4</v>
      </c>
      <c r="L79" s="118">
        <f t="shared" si="31"/>
        <v>33.33333333</v>
      </c>
      <c r="M79" s="155">
        <f>1567.21</f>
        <v>1567.21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0" t="s">
        <v>110</v>
      </c>
      <c r="B80" s="111">
        <f>1249</f>
        <v>1249</v>
      </c>
      <c r="C80" s="112">
        <f t="shared" si="24"/>
        <v>759.51</v>
      </c>
      <c r="D80" s="113">
        <f t="shared" si="25"/>
        <v>489.49</v>
      </c>
      <c r="E80" s="34">
        <f t="shared" si="26"/>
        <v>39.19055244</v>
      </c>
      <c r="F80" s="114">
        <f t="shared" si="27"/>
        <v>489.49</v>
      </c>
      <c r="G80" s="115">
        <v>1.0</v>
      </c>
      <c r="H80" s="36">
        <f>(220+350)*I80</f>
        <v>570</v>
      </c>
      <c r="I80" s="116">
        <v>1.0</v>
      </c>
      <c r="J80" s="36">
        <f t="shared" si="32"/>
        <v>0</v>
      </c>
      <c r="K80" s="117">
        <f>189.51</f>
        <v>189.51</v>
      </c>
      <c r="L80" s="118">
        <f t="shared" si="31"/>
        <v>0</v>
      </c>
      <c r="M80" s="155">
        <f t="shared" ref="M80:M83" si="33">20%*B80</f>
        <v>249.8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0" t="s">
        <v>93</v>
      </c>
      <c r="B81" s="111">
        <f>7145</f>
        <v>7145</v>
      </c>
      <c r="C81" s="112">
        <f t="shared" si="24"/>
        <v>5119.64</v>
      </c>
      <c r="D81" s="113">
        <f t="shared" si="25"/>
        <v>2025.36</v>
      </c>
      <c r="E81" s="34">
        <f t="shared" si="26"/>
        <v>28.34653604</v>
      </c>
      <c r="F81" s="114">
        <f t="shared" si="27"/>
        <v>405.072</v>
      </c>
      <c r="G81" s="115">
        <v>8.0</v>
      </c>
      <c r="H81" s="36">
        <f>(270+220)*I81</f>
        <v>2450</v>
      </c>
      <c r="I81" s="116">
        <v>5.0</v>
      </c>
      <c r="J81" s="36">
        <f t="shared" si="32"/>
        <v>3</v>
      </c>
      <c r="K81" s="117">
        <f>2669.64</f>
        <v>2669.64</v>
      </c>
      <c r="L81" s="118">
        <f t="shared" si="31"/>
        <v>37.5</v>
      </c>
      <c r="M81" s="155">
        <f t="shared" si="33"/>
        <v>1429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0" t="s">
        <v>111</v>
      </c>
      <c r="B82" s="111">
        <f>2349</f>
        <v>2349</v>
      </c>
      <c r="C82" s="112">
        <f t="shared" si="24"/>
        <v>1339.61</v>
      </c>
      <c r="D82" s="113">
        <f t="shared" si="25"/>
        <v>1009.39</v>
      </c>
      <c r="E82" s="34">
        <f t="shared" si="26"/>
        <v>42.97105151</v>
      </c>
      <c r="F82" s="114">
        <f t="shared" si="27"/>
        <v>1009.39</v>
      </c>
      <c r="G82" s="115">
        <v>1.0</v>
      </c>
      <c r="H82" s="36">
        <f>(320+350)*I82</f>
        <v>670</v>
      </c>
      <c r="I82" s="116">
        <v>1.0</v>
      </c>
      <c r="J82" s="36">
        <v>0.0</v>
      </c>
      <c r="K82" s="117">
        <f>669.61</f>
        <v>669.61</v>
      </c>
      <c r="L82" s="118">
        <f t="shared" si="31"/>
        <v>0</v>
      </c>
      <c r="M82" s="155">
        <f t="shared" si="33"/>
        <v>469.8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0" t="s">
        <v>110</v>
      </c>
      <c r="B83" s="111">
        <f>6396</f>
        <v>6396</v>
      </c>
      <c r="C83" s="112">
        <f t="shared" si="24"/>
        <v>4196.57</v>
      </c>
      <c r="D83" s="113">
        <f t="shared" si="25"/>
        <v>2199.43</v>
      </c>
      <c r="E83" s="34">
        <f t="shared" si="26"/>
        <v>34.38758599</v>
      </c>
      <c r="F83" s="114">
        <f t="shared" si="27"/>
        <v>549.8575</v>
      </c>
      <c r="G83" s="115">
        <v>5.0</v>
      </c>
      <c r="H83" s="36">
        <f>(220+350)*I83</f>
        <v>2280</v>
      </c>
      <c r="I83" s="116">
        <v>4.0</v>
      </c>
      <c r="J83" s="36">
        <v>0.0</v>
      </c>
      <c r="K83" s="117">
        <f>1916.57</f>
        <v>1916.57</v>
      </c>
      <c r="L83" s="118">
        <f t="shared" si="31"/>
        <v>0</v>
      </c>
      <c r="M83" s="155">
        <f t="shared" si="33"/>
        <v>1279.2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45">
        <f t="shared" ref="B84:D84" si="34">SUM(B71:B83)</f>
        <v>135767</v>
      </c>
      <c r="C84" s="45">
        <f t="shared" si="34"/>
        <v>95371.31</v>
      </c>
      <c r="D84" s="159">
        <f t="shared" si="34"/>
        <v>40395.69</v>
      </c>
      <c r="E84" s="3"/>
      <c r="F84" s="3"/>
      <c r="G84" s="45">
        <f t="shared" ref="G84:K84" si="35">SUM(G71:G83)</f>
        <v>174</v>
      </c>
      <c r="H84" s="45">
        <f t="shared" si="35"/>
        <v>45990</v>
      </c>
      <c r="I84" s="45">
        <f t="shared" si="35"/>
        <v>122</v>
      </c>
      <c r="J84" s="45">
        <f t="shared" si="35"/>
        <v>53</v>
      </c>
      <c r="K84" s="45">
        <f t="shared" si="35"/>
        <v>49381.31</v>
      </c>
      <c r="L84" s="3"/>
      <c r="M84" s="45">
        <f>SUM(M71:M83)</f>
        <v>26261.81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2" t="s">
        <v>32</v>
      </c>
      <c r="B87" s="106">
        <f>B84</f>
        <v>135767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02" t="s">
        <v>50</v>
      </c>
      <c r="B88" s="106">
        <f>H84</f>
        <v>45990</v>
      </c>
      <c r="C88" s="3"/>
      <c r="D88" s="46" t="s">
        <v>63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2" t="s">
        <v>68</v>
      </c>
      <c r="B89" s="106">
        <f>K84-B90</f>
        <v>23119.5</v>
      </c>
      <c r="C89" s="3"/>
      <c r="D89" s="145" t="s">
        <v>50</v>
      </c>
      <c r="E89" s="146">
        <f>B88/I84</f>
        <v>376.9672131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2" t="s">
        <v>52</v>
      </c>
      <c r="B90" s="106">
        <f>M84</f>
        <v>26261.81</v>
      </c>
      <c r="C90" s="3"/>
      <c r="D90" s="145" t="s">
        <v>35</v>
      </c>
      <c r="E90" s="146">
        <f>B90/I84</f>
        <v>215.2607377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02" t="s">
        <v>36</v>
      </c>
      <c r="B91" s="106">
        <f>B87-SUM(B88:B90)</f>
        <v>40395.69</v>
      </c>
      <c r="C91" s="3"/>
      <c r="D91" s="145" t="s">
        <v>84</v>
      </c>
      <c r="E91" s="146">
        <f>B89/I84</f>
        <v>189.5040984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02" t="s">
        <v>38</v>
      </c>
      <c r="B92" s="120">
        <f>B91/B87*100</f>
        <v>29.7536883</v>
      </c>
      <c r="C92" s="3"/>
      <c r="D92" s="145" t="s">
        <v>33</v>
      </c>
      <c r="E92" s="146">
        <f>B87/I84</f>
        <v>1112.844262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92" t="s">
        <v>77</v>
      </c>
      <c r="B97" s="93" t="s">
        <v>69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4" t="s">
        <v>45</v>
      </c>
      <c r="B99" s="108" t="s">
        <v>3</v>
      </c>
      <c r="C99" s="108" t="s">
        <v>4</v>
      </c>
      <c r="D99" s="108" t="s">
        <v>5</v>
      </c>
      <c r="E99" s="109" t="s">
        <v>6</v>
      </c>
      <c r="F99" s="108" t="s">
        <v>7</v>
      </c>
      <c r="G99" s="108" t="s">
        <v>98</v>
      </c>
      <c r="H99" s="108" t="s">
        <v>9</v>
      </c>
      <c r="I99" s="108" t="s">
        <v>87</v>
      </c>
      <c r="J99" s="108" t="s">
        <v>70</v>
      </c>
      <c r="K99" s="78" t="s">
        <v>51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10" t="s">
        <v>24</v>
      </c>
      <c r="B100" s="111">
        <f>689*H100</f>
        <v>132288</v>
      </c>
      <c r="C100" s="182">
        <f t="shared" ref="C100:C103" si="36">J100+G100+I100+K100</f>
        <v>106420.25</v>
      </c>
      <c r="D100" s="113">
        <f t="shared" ref="D100:D103" si="37">B100-C100</f>
        <v>25867.75</v>
      </c>
      <c r="E100" s="34">
        <f t="shared" ref="E100:E103" si="38">D100/B100*100</f>
        <v>19.55411678</v>
      </c>
      <c r="F100" s="114">
        <f t="shared" ref="F100:F103" si="39">D100/H100</f>
        <v>134.7278646</v>
      </c>
      <c r="G100" s="36">
        <f>270*H100</f>
        <v>51840</v>
      </c>
      <c r="H100" s="116">
        <v>192.0</v>
      </c>
      <c r="I100" s="36">
        <v>8610.0</v>
      </c>
      <c r="J100" s="183">
        <f>L100%*M100</f>
        <v>42130.25</v>
      </c>
      <c r="K100" s="77">
        <f t="shared" ref="K100:K103" si="40">20*H100</f>
        <v>3840</v>
      </c>
      <c r="L100" s="159">
        <v>85.0</v>
      </c>
      <c r="M100" s="45">
        <v>49565.0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0" t="s">
        <v>27</v>
      </c>
      <c r="B101" s="111">
        <f>359*H101</f>
        <v>49183</v>
      </c>
      <c r="C101" s="182">
        <f t="shared" si="36"/>
        <v>44939.75</v>
      </c>
      <c r="D101" s="113">
        <f t="shared" si="37"/>
        <v>4243.25</v>
      </c>
      <c r="E101" s="34">
        <f t="shared" si="38"/>
        <v>8.627472907</v>
      </c>
      <c r="F101" s="114">
        <f t="shared" si="39"/>
        <v>30.97262774</v>
      </c>
      <c r="G101" s="36">
        <f>220*H101</f>
        <v>30140</v>
      </c>
      <c r="H101" s="116">
        <v>137.0</v>
      </c>
      <c r="I101" s="36">
        <v>4625.0</v>
      </c>
      <c r="J101" s="183">
        <f>L101%*M100</f>
        <v>7434.75</v>
      </c>
      <c r="K101" s="77">
        <f t="shared" si="40"/>
        <v>2740</v>
      </c>
      <c r="L101" s="159">
        <f>100-L100</f>
        <v>15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0" t="s">
        <v>25</v>
      </c>
      <c r="B102" s="111">
        <f>781*H102</f>
        <v>73414</v>
      </c>
      <c r="C102" s="112">
        <f t="shared" si="36"/>
        <v>39330</v>
      </c>
      <c r="D102" s="113">
        <f t="shared" si="37"/>
        <v>34084</v>
      </c>
      <c r="E102" s="34">
        <f t="shared" si="38"/>
        <v>46.42711199</v>
      </c>
      <c r="F102" s="114">
        <f t="shared" si="39"/>
        <v>362.5957447</v>
      </c>
      <c r="G102" s="36">
        <f t="shared" ref="G102:G103" si="41">350*H102</f>
        <v>32900</v>
      </c>
      <c r="H102" s="116">
        <v>94.0</v>
      </c>
      <c r="I102" s="36">
        <v>4550.0</v>
      </c>
      <c r="J102" s="160">
        <f t="shared" ref="J102:J103" si="42">L102%*M102</f>
        <v>0</v>
      </c>
      <c r="K102" s="77">
        <f t="shared" si="40"/>
        <v>1880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0" t="s">
        <v>29</v>
      </c>
      <c r="B103" s="111">
        <f>843*H103</f>
        <v>53952</v>
      </c>
      <c r="C103" s="112">
        <f t="shared" si="36"/>
        <v>26410</v>
      </c>
      <c r="D103" s="113">
        <f t="shared" si="37"/>
        <v>27542</v>
      </c>
      <c r="E103" s="34">
        <f t="shared" si="38"/>
        <v>51.04908066</v>
      </c>
      <c r="F103" s="114">
        <f t="shared" si="39"/>
        <v>430.34375</v>
      </c>
      <c r="G103" s="36">
        <f t="shared" si="41"/>
        <v>22400</v>
      </c>
      <c r="H103" s="116">
        <v>64.0</v>
      </c>
      <c r="I103" s="36">
        <v>2730.0</v>
      </c>
      <c r="J103" s="160">
        <f t="shared" si="42"/>
        <v>0</v>
      </c>
      <c r="K103" s="77">
        <f t="shared" si="40"/>
        <v>1280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45">
        <f t="shared" ref="B104:K104" si="43">SUM(B100:B103)</f>
        <v>308837</v>
      </c>
      <c r="C104" s="184">
        <f t="shared" si="43"/>
        <v>217100</v>
      </c>
      <c r="D104" s="159">
        <f t="shared" si="43"/>
        <v>91737</v>
      </c>
      <c r="E104" s="156">
        <f t="shared" si="43"/>
        <v>125.6577823</v>
      </c>
      <c r="F104" s="156">
        <f t="shared" si="43"/>
        <v>958.639987</v>
      </c>
      <c r="G104" s="45">
        <f t="shared" si="43"/>
        <v>137280</v>
      </c>
      <c r="H104" s="45">
        <f t="shared" si="43"/>
        <v>487</v>
      </c>
      <c r="I104" s="45">
        <f t="shared" si="43"/>
        <v>20515</v>
      </c>
      <c r="J104" s="184">
        <f t="shared" si="43"/>
        <v>49565</v>
      </c>
      <c r="K104" s="45">
        <f t="shared" si="43"/>
        <v>9740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2" t="s">
        <v>32</v>
      </c>
      <c r="B107" s="103">
        <f>B104</f>
        <v>308837</v>
      </c>
      <c r="C107" s="3"/>
      <c r="D107" s="46" t="s">
        <v>63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02" t="s">
        <v>50</v>
      </c>
      <c r="B108" s="103">
        <f>G104</f>
        <v>137280</v>
      </c>
      <c r="C108" s="3"/>
      <c r="D108" s="145" t="s">
        <v>50</v>
      </c>
      <c r="E108" s="146">
        <f>B108/H104</f>
        <v>281.889117</v>
      </c>
      <c r="F108" s="3"/>
      <c r="G108" s="3"/>
      <c r="H108" s="3"/>
      <c r="I108" s="45">
        <f>B100+B121</f>
        <v>238430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2" t="s">
        <v>73</v>
      </c>
      <c r="B109" s="103">
        <f>K104</f>
        <v>9740</v>
      </c>
      <c r="C109" s="3"/>
      <c r="D109" s="145" t="s">
        <v>35</v>
      </c>
      <c r="E109" s="146">
        <f>B110/H104</f>
        <v>143.9014374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2" t="s">
        <v>74</v>
      </c>
      <c r="B110" s="120">
        <f>I104+J104</f>
        <v>70080</v>
      </c>
      <c r="C110" s="3"/>
      <c r="D110" s="161" t="s">
        <v>51</v>
      </c>
      <c r="E110" s="146">
        <f>K104/H104</f>
        <v>20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2" t="s">
        <v>36</v>
      </c>
      <c r="B111" s="103">
        <f>B107-SUM(B108:B110)</f>
        <v>91737</v>
      </c>
      <c r="C111" s="3"/>
      <c r="D111" s="145" t="s">
        <v>33</v>
      </c>
      <c r="E111" s="146">
        <f>B107/H104</f>
        <v>634.1622177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2" t="s">
        <v>38</v>
      </c>
      <c r="B112" s="120">
        <f>B111/B107*100</f>
        <v>29.70401862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92" t="s">
        <v>108</v>
      </c>
      <c r="B118" s="93" t="s">
        <v>99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4" t="s">
        <v>45</v>
      </c>
      <c r="B120" s="108" t="s">
        <v>3</v>
      </c>
      <c r="C120" s="108" t="s">
        <v>4</v>
      </c>
      <c r="D120" s="108" t="s">
        <v>5</v>
      </c>
      <c r="E120" s="109" t="s">
        <v>6</v>
      </c>
      <c r="F120" s="108" t="s">
        <v>7</v>
      </c>
      <c r="G120" s="108" t="s">
        <v>98</v>
      </c>
      <c r="H120" s="108" t="s">
        <v>9</v>
      </c>
      <c r="I120" s="108" t="s">
        <v>112</v>
      </c>
      <c r="J120" s="108" t="s">
        <v>70</v>
      </c>
      <c r="K120" s="78" t="s">
        <v>51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10" t="s">
        <v>24</v>
      </c>
      <c r="B121" s="111">
        <f>727*H121</f>
        <v>106142</v>
      </c>
      <c r="C121" s="112">
        <f t="shared" ref="C121:C123" si="44">J121+G121+I121+K121</f>
        <v>42340</v>
      </c>
      <c r="D121" s="113">
        <f t="shared" ref="D121:D124" si="45">B121-C121</f>
        <v>63802</v>
      </c>
      <c r="E121" s="34">
        <f t="shared" ref="E121:E123" si="46">D121/B121*100</f>
        <v>60.11004127</v>
      </c>
      <c r="F121" s="114">
        <f t="shared" ref="F121:F123" si="47">D121/H121</f>
        <v>437</v>
      </c>
      <c r="G121" s="36">
        <f>270*H121</f>
        <v>39420</v>
      </c>
      <c r="H121" s="116">
        <v>146.0</v>
      </c>
      <c r="I121" s="36">
        <v>0.0</v>
      </c>
      <c r="J121" s="160">
        <v>0.0</v>
      </c>
      <c r="K121" s="77">
        <f t="shared" ref="K121:K123" si="48">20*H121</f>
        <v>2920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0" t="s">
        <v>27</v>
      </c>
      <c r="B122" s="111">
        <f>385*H122</f>
        <v>11165</v>
      </c>
      <c r="C122" s="112">
        <f t="shared" si="44"/>
        <v>6960</v>
      </c>
      <c r="D122" s="113">
        <f t="shared" si="45"/>
        <v>4205</v>
      </c>
      <c r="E122" s="34">
        <f t="shared" si="46"/>
        <v>37.66233766</v>
      </c>
      <c r="F122" s="114">
        <f t="shared" si="47"/>
        <v>145</v>
      </c>
      <c r="G122" s="36">
        <f>220*H122</f>
        <v>6380</v>
      </c>
      <c r="H122" s="116">
        <v>29.0</v>
      </c>
      <c r="I122" s="36">
        <v>0.0</v>
      </c>
      <c r="J122" s="160">
        <v>0.0</v>
      </c>
      <c r="K122" s="77">
        <f t="shared" si="48"/>
        <v>580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10" t="s">
        <v>25</v>
      </c>
      <c r="B123" s="111">
        <f>801*H123</f>
        <v>64881</v>
      </c>
      <c r="C123" s="112">
        <f t="shared" si="44"/>
        <v>29970</v>
      </c>
      <c r="D123" s="113">
        <f t="shared" si="45"/>
        <v>34911</v>
      </c>
      <c r="E123" s="34">
        <f t="shared" si="46"/>
        <v>53.80774032</v>
      </c>
      <c r="F123" s="114">
        <f t="shared" si="47"/>
        <v>431</v>
      </c>
      <c r="G123" s="36">
        <f>350*H123</f>
        <v>28350</v>
      </c>
      <c r="H123" s="116">
        <v>81.0</v>
      </c>
      <c r="I123" s="36">
        <v>0.0</v>
      </c>
      <c r="J123" s="160">
        <v>0.0</v>
      </c>
      <c r="K123" s="77">
        <f t="shared" si="48"/>
        <v>1620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45">
        <f t="shared" ref="B124:C124" si="49">SUM(B121:B123)</f>
        <v>182188</v>
      </c>
      <c r="C124" s="45">
        <f t="shared" si="49"/>
        <v>79270</v>
      </c>
      <c r="D124" s="45">
        <f t="shared" si="45"/>
        <v>102918</v>
      </c>
      <c r="E124" s="3"/>
      <c r="F124" s="3"/>
      <c r="G124" s="45">
        <f t="shared" ref="G124:H124" si="50">SUM(G121:G123)</f>
        <v>74150</v>
      </c>
      <c r="H124" s="45">
        <f t="shared" si="50"/>
        <v>256</v>
      </c>
      <c r="I124" s="3"/>
      <c r="J124" s="3"/>
      <c r="K124" s="45">
        <f>SUM(K121:K123)</f>
        <v>5120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02" t="s">
        <v>32</v>
      </c>
      <c r="B126" s="103">
        <f>B124</f>
        <v>182188</v>
      </c>
      <c r="C126" s="3"/>
      <c r="D126" s="46" t="s">
        <v>63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2" t="s">
        <v>50</v>
      </c>
      <c r="B127" s="103">
        <f>G124</f>
        <v>74150</v>
      </c>
      <c r="C127" s="3"/>
      <c r="D127" s="145" t="s">
        <v>50</v>
      </c>
      <c r="E127" s="146">
        <f>B127/H124</f>
        <v>289.6484375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02" t="s">
        <v>73</v>
      </c>
      <c r="B128" s="103">
        <f>K124</f>
        <v>5120</v>
      </c>
      <c r="C128" s="3"/>
      <c r="D128" s="145" t="s">
        <v>35</v>
      </c>
      <c r="E128" s="146">
        <f>B129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02" t="s">
        <v>74</v>
      </c>
      <c r="B129" s="103">
        <f>I123+J123</f>
        <v>0</v>
      </c>
      <c r="C129" s="3"/>
      <c r="D129" s="163" t="s">
        <v>51</v>
      </c>
      <c r="E129" s="146">
        <f>B128/H124</f>
        <v>20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02" t="s">
        <v>36</v>
      </c>
      <c r="B130" s="103">
        <f>B126-SUM(B127:B129)</f>
        <v>102918</v>
      </c>
      <c r="C130" s="3"/>
      <c r="D130" s="145" t="s">
        <v>33</v>
      </c>
      <c r="E130" s="146">
        <f>B126/H124</f>
        <v>711.671875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02" t="s">
        <v>38</v>
      </c>
      <c r="B131" s="120">
        <f>B130/B126*100</f>
        <v>56.48999934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9"/>
      <c r="B137" s="185"/>
      <c r="C137" s="165"/>
      <c r="D137" s="3"/>
      <c r="E137" s="123"/>
      <c r="F137" s="12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86"/>
      <c r="B138" s="187"/>
      <c r="C138" s="165"/>
      <c r="D138" s="3"/>
      <c r="E138" s="123"/>
      <c r="F138" s="12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88"/>
      <c r="B139" s="189"/>
      <c r="C139" s="165"/>
      <c r="D139" s="3"/>
      <c r="E139" s="123"/>
      <c r="F139" s="12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9"/>
      <c r="B140" s="190"/>
      <c r="C140" s="171"/>
      <c r="D140" s="3"/>
      <c r="E140" s="123"/>
      <c r="F140" s="12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88"/>
      <c r="B141" s="189"/>
      <c r="C141" s="171"/>
      <c r="D141" s="3"/>
      <c r="E141" s="123"/>
      <c r="F141" s="12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91"/>
      <c r="B142" s="192"/>
      <c r="C142" s="3"/>
      <c r="D142" s="3"/>
      <c r="E142" s="135"/>
      <c r="F142" s="13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91"/>
      <c r="B143" s="19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9"/>
      <c r="B144" s="19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93"/>
      <c r="B145" s="19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95"/>
      <c r="B146" s="19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97"/>
      <c r="B147" s="19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9"/>
      <c r="B148" s="19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</sheetData>
  <drawing r:id="rId1"/>
</worksheet>
</file>