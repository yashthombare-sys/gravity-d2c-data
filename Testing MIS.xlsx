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Arial"/>
      <color theme="1"/>
      <sz val="11"/>
    </font>
    <font>
      <name val="Arial"/>
      <b val="1"/>
      <color theme="1"/>
      <sz val="11"/>
    </font>
    <font>
      <name val="Arial"/>
      <color theme="1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1" fontId="2" fillId="0" borderId="1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4" fontId="2" fillId="0" borderId="1" applyAlignment="1" pivotButton="0" quotePrefix="0" xfId="0">
      <alignment vertical="bottom"/>
    </xf>
    <xf numFmtId="3" fontId="2" fillId="0" borderId="1" applyAlignment="1" pivotButton="0" quotePrefix="0" xfId="0">
      <alignment vertical="bottom"/>
    </xf>
    <xf numFmtId="0" fontId="3" fillId="0" borderId="1" applyAlignment="1" pivotButton="0" quotePrefix="0" xfId="0">
      <alignment vertical="bottom"/>
    </xf>
    <xf numFmtId="0" fontId="4" fillId="0" borderId="1" pivotButton="0" quotePrefix="0" xfId="0"/>
    <xf numFmtId="0" fontId="3" fillId="0" borderId="1" applyAlignment="1" pivotButton="0" quotePrefix="0" xfId="0">
      <alignment horizontal="right" vertical="bottom"/>
    </xf>
    <xf numFmtId="1" fontId="1" fillId="0" borderId="1" applyAlignment="1" pivotButton="0" quotePrefix="0" xfId="0">
      <alignment vertical="bottom"/>
    </xf>
    <xf numFmtId="1" fontId="3" fillId="0" borderId="1" applyAlignment="1" pivotButton="0" quotePrefix="0" xfId="0">
      <alignment horizontal="right" vertical="bottom"/>
    </xf>
    <xf numFmtId="0" fontId="0" fillId="0" borderId="0" pivotButton="0" quotePrefix="0" xfId="0"/>
    <xf numFmtId="4" fontId="4" fillId="0" borderId="1" pivotButton="0" quotePrefix="0" xfId="0"/>
    <xf numFmtId="10" fontId="4" fillId="0" borderId="1" pivotButton="0" quotePrefix="0" xfId="0"/>
    <xf numFmtId="4" fontId="0" fillId="0" borderId="0" pivotButton="0" quotePrefix="0" xfId="0"/>
    <xf numFmtId="1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R32"/>
  <sheetViews>
    <sheetView workbookViewId="0">
      <selection activeCell="A1" sqref="A1"/>
    </sheetView>
  </sheetViews>
  <sheetFormatPr baseColWidth="8" defaultColWidth="12.63" defaultRowHeight="15.75" customHeight="1"/>
  <cols>
    <col width="13.88" customWidth="1" style="11" min="1" max="1"/>
    <col width="22.13" customWidth="1" style="11" min="2" max="2"/>
    <col width="13.13" customWidth="1" style="11" min="3" max="3"/>
    <col width="11.38" customWidth="1" style="11" min="16" max="16"/>
    <col width="14" customWidth="1" style="11" min="17" max="17"/>
    <col width="9.380000000000001" customWidth="1" style="11" min="18" max="18"/>
  </cols>
  <sheetData>
    <row r="1">
      <c r="A1" s="1" t="inlineStr">
        <is>
          <t>Products</t>
        </is>
      </c>
      <c r="B1" s="2" t="inlineStr">
        <is>
          <t>Total Delivered Revenue</t>
        </is>
      </c>
      <c r="C1" s="3" t="inlineStr">
        <is>
          <t>Total expense</t>
        </is>
      </c>
      <c r="D1" s="3" t="inlineStr">
        <is>
          <t>Total P/L</t>
        </is>
      </c>
      <c r="E1" s="4" t="inlineStr">
        <is>
          <t>Profit %</t>
        </is>
      </c>
      <c r="F1" s="5" t="inlineStr">
        <is>
          <t>P/pcs</t>
        </is>
      </c>
      <c r="G1" s="3" t="inlineStr">
        <is>
          <t>Total orders</t>
        </is>
      </c>
      <c r="H1" s="3" t="inlineStr">
        <is>
          <t>Shipped</t>
        </is>
      </c>
      <c r="I1" s="3" t="inlineStr">
        <is>
          <t>Total COGS</t>
        </is>
      </c>
      <c r="J1" s="3" t="inlineStr">
        <is>
          <t>Delivered</t>
        </is>
      </c>
      <c r="K1" s="3" t="inlineStr">
        <is>
          <t>Shipping charges</t>
        </is>
      </c>
      <c r="L1" s="3" t="inlineStr">
        <is>
          <t>RTO</t>
        </is>
      </c>
      <c r="M1" s="3" t="inlineStr">
        <is>
          <t>In-transit</t>
        </is>
      </c>
      <c r="N1" s="4" t="inlineStr">
        <is>
          <t>RTO%</t>
        </is>
      </c>
      <c r="O1" s="4" t="inlineStr">
        <is>
          <t>Shipped%</t>
        </is>
      </c>
      <c r="P1" s="4" t="inlineStr">
        <is>
          <t>Delivered %</t>
        </is>
      </c>
      <c r="Q1" s="3" t="inlineStr">
        <is>
          <t>Cancellation %</t>
        </is>
      </c>
      <c r="R1" s="6" t="inlineStr">
        <is>
          <t>COGS/Unit</t>
        </is>
      </c>
    </row>
    <row r="2">
      <c r="A2" s="1" t="inlineStr">
        <is>
          <t>V1</t>
        </is>
      </c>
      <c r="B2" s="12" t="n">
        <v>298904.05</v>
      </c>
      <c r="C2" s="12">
        <f>I2+K2</f>
        <v/>
      </c>
      <c r="D2" s="12">
        <f>B2-C2</f>
        <v/>
      </c>
      <c r="E2" s="13">
        <f>IF(B2&gt;0,D2/B2,0)</f>
        <v/>
      </c>
      <c r="F2" s="12">
        <f>IF(J2&gt;0,D2/J2,0)</f>
        <v/>
      </c>
      <c r="G2" s="7" t="n">
        <v>370</v>
      </c>
      <c r="H2" s="7" t="n">
        <v>367</v>
      </c>
      <c r="I2" s="12" t="n">
        <v>82575</v>
      </c>
      <c r="J2" s="7" t="n">
        <v>347</v>
      </c>
      <c r="K2" s="12" t="n">
        <v>24325.21</v>
      </c>
      <c r="L2" s="7" t="n">
        <v>17</v>
      </c>
      <c r="M2" s="7" t="n">
        <v>3</v>
      </c>
      <c r="N2" s="13">
        <f>IF(H2&gt;0,L2/H2,0)</f>
        <v/>
      </c>
      <c r="O2" s="13">
        <f>IF(G2&gt;0,H2/G2,0)</f>
        <v/>
      </c>
      <c r="P2" s="13">
        <f>IF(G2&gt;0,J2/G2,0)</f>
        <v/>
      </c>
      <c r="Q2" s="13">
        <f>IF(G2&gt;0,(G2-H2)/G2,0)</f>
        <v/>
      </c>
      <c r="R2" s="8" t="n">
        <v>225</v>
      </c>
    </row>
    <row r="3">
      <c r="A3" s="1" t="inlineStr">
        <is>
          <t>V1- P of 2</t>
        </is>
      </c>
      <c r="B3" s="12" t="n">
        <v>9257.98</v>
      </c>
      <c r="C3" s="12">
        <f>I3+K3</f>
        <v/>
      </c>
      <c r="D3" s="12">
        <f>B3-C3</f>
        <v/>
      </c>
      <c r="E3" s="13">
        <f>IF(B3&gt;0,D3/B3,0)</f>
        <v/>
      </c>
      <c r="F3" s="12">
        <f>IF(J3&gt;0,D3/J3,0)</f>
        <v/>
      </c>
      <c r="G3" s="7" t="n">
        <v>6</v>
      </c>
      <c r="H3" s="7" t="n">
        <v>6</v>
      </c>
      <c r="I3" s="12" t="n">
        <v>0</v>
      </c>
      <c r="J3" s="7" t="n">
        <v>6</v>
      </c>
      <c r="K3" s="12" t="n">
        <v>420.42</v>
      </c>
      <c r="L3" s="7" t="n">
        <v>0</v>
      </c>
      <c r="M3" s="7" t="n">
        <v>0</v>
      </c>
      <c r="N3" s="13">
        <f>IF(H3&gt;0,L3/H3,0)</f>
        <v/>
      </c>
      <c r="O3" s="13">
        <f>IF(G3&gt;0,H3/G3,0)</f>
        <v/>
      </c>
      <c r="P3" s="13">
        <f>IF(G3&gt;0,J3/G3,0)</f>
        <v/>
      </c>
      <c r="Q3" s="13">
        <f>IF(G3&gt;0,(G3-H3)/G3,0)</f>
        <v/>
      </c>
      <c r="R3" s="8">
        <f>R2*2</f>
        <v/>
      </c>
    </row>
    <row r="4">
      <c r="A4" s="1" t="inlineStr">
        <is>
          <t>V2</t>
        </is>
      </c>
      <c r="B4" s="12" t="n">
        <v>848660.1899999999</v>
      </c>
      <c r="C4" s="12">
        <f>I4+K4</f>
        <v/>
      </c>
      <c r="D4" s="12">
        <f>B4-C4</f>
        <v/>
      </c>
      <c r="E4" s="13">
        <f>IF(B4&gt;0,D4/B4,0)</f>
        <v/>
      </c>
      <c r="F4" s="12">
        <f>IF(J4&gt;0,D4/J4,0)</f>
        <v/>
      </c>
      <c r="G4" s="7" t="n">
        <v>998</v>
      </c>
      <c r="H4" s="7" t="n">
        <v>991</v>
      </c>
      <c r="I4" s="12" t="n">
        <v>272525</v>
      </c>
      <c r="J4" s="7" t="n">
        <v>882</v>
      </c>
      <c r="K4" s="12" t="n">
        <v>75352.10000000001</v>
      </c>
      <c r="L4" s="7" t="n">
        <v>99</v>
      </c>
      <c r="M4" s="7" t="n">
        <v>10</v>
      </c>
      <c r="N4" s="13">
        <f>IF(H4&gt;0,L4/H4,0)</f>
        <v/>
      </c>
      <c r="O4" s="13">
        <f>IF(G4&gt;0,H4/G4,0)</f>
        <v/>
      </c>
      <c r="P4" s="13">
        <f>IF(G4&gt;0,J4/G4,0)</f>
        <v/>
      </c>
      <c r="Q4" s="13">
        <f>IF(G4&gt;0,(G4-H4)/G4,0)</f>
        <v/>
      </c>
      <c r="R4" s="8" t="n">
        <v>275</v>
      </c>
    </row>
    <row r="5">
      <c r="A5" s="1" t="inlineStr">
        <is>
          <t>V2- P of 2</t>
        </is>
      </c>
      <c r="B5" s="12" t="n">
        <v>22208.51</v>
      </c>
      <c r="C5" s="12">
        <f>I5+K5</f>
        <v/>
      </c>
      <c r="D5" s="12">
        <f>B5-C5</f>
        <v/>
      </c>
      <c r="E5" s="13">
        <f>IF(B5&gt;0,D5/B5,0)</f>
        <v/>
      </c>
      <c r="F5" s="12">
        <f>IF(J5&gt;0,D5/J5,0)</f>
        <v/>
      </c>
      <c r="G5" s="7" t="n">
        <v>13</v>
      </c>
      <c r="H5" s="7" t="n">
        <v>13</v>
      </c>
      <c r="I5" s="12" t="n">
        <v>0</v>
      </c>
      <c r="J5" s="7" t="n">
        <v>12</v>
      </c>
      <c r="K5" s="12" t="n">
        <v>1096.63</v>
      </c>
      <c r="L5" s="7" t="n">
        <v>1</v>
      </c>
      <c r="M5" s="7" t="n">
        <v>0</v>
      </c>
      <c r="N5" s="13">
        <f>IF(H5&gt;0,L5/H5,0)</f>
        <v/>
      </c>
      <c r="O5" s="13">
        <f>IF(G5&gt;0,H5/G5,0)</f>
        <v/>
      </c>
      <c r="P5" s="13">
        <f>IF(G5&gt;0,J5/G5,0)</f>
        <v/>
      </c>
      <c r="Q5" s="13">
        <f>IF(G5&gt;0,(G5-H5)/G5,0)</f>
        <v/>
      </c>
      <c r="R5" s="8">
        <f>R4*2</f>
        <v/>
      </c>
    </row>
    <row r="6">
      <c r="A6" s="1" t="inlineStr">
        <is>
          <t>V3</t>
        </is>
      </c>
      <c r="B6" s="12" t="n">
        <v>236363.56</v>
      </c>
      <c r="C6" s="12">
        <f>I6+K6</f>
        <v/>
      </c>
      <c r="D6" s="12">
        <f>B6-C6</f>
        <v/>
      </c>
      <c r="E6" s="13">
        <f>IF(B6&gt;0,D6/B6,0)</f>
        <v/>
      </c>
      <c r="F6" s="12">
        <f>IF(J6&gt;0,D6/J6,0)</f>
        <v/>
      </c>
      <c r="G6" s="7" t="n">
        <v>177</v>
      </c>
      <c r="H6" s="7" t="n">
        <v>173</v>
      </c>
      <c r="I6" s="12" t="n">
        <v>114526</v>
      </c>
      <c r="J6" s="7" t="n">
        <v>164</v>
      </c>
      <c r="K6" s="12" t="n">
        <v>18835.62</v>
      </c>
      <c r="L6" s="7" t="n">
        <v>7</v>
      </c>
      <c r="M6" s="7" t="n">
        <v>2</v>
      </c>
      <c r="N6" s="13">
        <f>IF(H6&gt;0,L6/H6,0)</f>
        <v/>
      </c>
      <c r="O6" s="13">
        <f>IF(G6&gt;0,H6/G6,0)</f>
        <v/>
      </c>
      <c r="P6" s="13">
        <f>IF(G6&gt;0,J6/G6,0)</f>
        <v/>
      </c>
      <c r="Q6" s="13">
        <f>IF(G6&gt;0,(G6-H6)/G6,0)</f>
        <v/>
      </c>
      <c r="R6" s="8" t="n">
        <v>662</v>
      </c>
    </row>
    <row r="7">
      <c r="A7" s="1" t="inlineStr">
        <is>
          <t>V4</t>
        </is>
      </c>
      <c r="B7" s="12" t="n">
        <v>79954.11</v>
      </c>
      <c r="C7" s="12">
        <f>I7+K7</f>
        <v/>
      </c>
      <c r="D7" s="12">
        <f>B7-C7</f>
        <v/>
      </c>
      <c r="E7" s="13">
        <f>IF(B7&gt;0,D7/B7,0)</f>
        <v/>
      </c>
      <c r="F7" s="12">
        <f>IF(J7&gt;0,D7/J7,0)</f>
        <v/>
      </c>
      <c r="G7" s="7" t="n">
        <v>191</v>
      </c>
      <c r="H7" s="7" t="n">
        <v>188</v>
      </c>
      <c r="I7" s="12" t="n">
        <v>31960</v>
      </c>
      <c r="J7" s="7" t="n">
        <v>169</v>
      </c>
      <c r="K7" s="12" t="n">
        <v>12853.33</v>
      </c>
      <c r="L7" s="7" t="n">
        <v>19</v>
      </c>
      <c r="M7" s="7" t="n">
        <v>0</v>
      </c>
      <c r="N7" s="13">
        <f>IF(H7&gt;0,L7/H7,0)</f>
        <v/>
      </c>
      <c r="O7" s="13">
        <f>IF(G7&gt;0,H7/G7,0)</f>
        <v/>
      </c>
      <c r="P7" s="13">
        <f>IF(G7&gt;0,J7/G7,0)</f>
        <v/>
      </c>
      <c r="Q7" s="13">
        <f>IF(G7&gt;0,(G7-H7)/G7,0)</f>
        <v/>
      </c>
      <c r="R7" s="8" t="n">
        <v>170</v>
      </c>
    </row>
    <row r="8">
      <c r="A8" s="1" t="inlineStr">
        <is>
          <t>V4- P of 2</t>
        </is>
      </c>
      <c r="B8" s="12" t="n">
        <v>9465.799999999999</v>
      </c>
      <c r="C8" s="12">
        <f>I8+K8</f>
        <v/>
      </c>
      <c r="D8" s="12">
        <f>B8-C8</f>
        <v/>
      </c>
      <c r="E8" s="13">
        <f>IF(B8&gt;0,D8/B8,0)</f>
        <v/>
      </c>
      <c r="F8" s="12">
        <f>IF(J8&gt;0,D8/J8,0)</f>
        <v/>
      </c>
      <c r="G8" s="7" t="n">
        <v>11</v>
      </c>
      <c r="H8" s="7" t="n">
        <v>11</v>
      </c>
      <c r="I8" s="12" t="n">
        <v>0</v>
      </c>
      <c r="J8" s="7" t="n">
        <v>11</v>
      </c>
      <c r="K8" s="12" t="n">
        <v>767.4</v>
      </c>
      <c r="L8" s="7" t="n">
        <v>0</v>
      </c>
      <c r="M8" s="7" t="n">
        <v>0</v>
      </c>
      <c r="N8" s="13">
        <f>IF(H8&gt;0,L8/H8,0)</f>
        <v/>
      </c>
      <c r="O8" s="13">
        <f>IF(G8&gt;0,H8/G8,0)</f>
        <v/>
      </c>
      <c r="P8" s="13">
        <f>IF(G8&gt;0,J8/G8,0)</f>
        <v/>
      </c>
      <c r="Q8" s="13">
        <f>IF(G8&gt;0,(G8-H8)/G8,0)</f>
        <v/>
      </c>
      <c r="R8" s="8">
        <f>R7*2</f>
        <v/>
      </c>
    </row>
    <row r="9">
      <c r="A9" s="1" t="inlineStr">
        <is>
          <t>V4- P of 3</t>
        </is>
      </c>
      <c r="B9" s="12" t="n">
        <v>1127.03</v>
      </c>
      <c r="C9" s="12">
        <f>I9+K9</f>
        <v/>
      </c>
      <c r="D9" s="12">
        <f>B9-C9</f>
        <v/>
      </c>
      <c r="E9" s="13">
        <f>IF(B9&gt;0,D9/B9,0)</f>
        <v/>
      </c>
      <c r="F9" s="12">
        <f>IF(J9&gt;0,D9/J9,0)</f>
        <v/>
      </c>
      <c r="G9" s="7" t="n">
        <v>1</v>
      </c>
      <c r="H9" s="7" t="n">
        <v>1</v>
      </c>
      <c r="I9" s="12" t="n">
        <v>368</v>
      </c>
      <c r="J9" s="7" t="n">
        <v>1</v>
      </c>
      <c r="K9" s="12" t="n">
        <v>90.02</v>
      </c>
      <c r="L9" s="7" t="n">
        <v>0</v>
      </c>
      <c r="M9" s="7" t="n">
        <v>0</v>
      </c>
      <c r="N9" s="13">
        <f>IF(H9&gt;0,L9/H9,0)</f>
        <v/>
      </c>
      <c r="O9" s="13">
        <f>IF(G9&gt;0,H9/G9,0)</f>
        <v/>
      </c>
      <c r="P9" s="13">
        <f>IF(G9&gt;0,J9/G9,0)</f>
        <v/>
      </c>
      <c r="Q9" s="13">
        <f>IF(G9&gt;0,(G9-H9)/G9,0)</f>
        <v/>
      </c>
      <c r="R9" s="8" t="n">
        <v>368</v>
      </c>
    </row>
    <row r="10">
      <c r="A10" s="1" t="inlineStr">
        <is>
          <t>V6</t>
        </is>
      </c>
      <c r="B10" s="12" t="n">
        <v>1426408.38</v>
      </c>
      <c r="C10" s="12">
        <f>I10+K10</f>
        <v/>
      </c>
      <c r="D10" s="12">
        <f>B10-C10</f>
        <v/>
      </c>
      <c r="E10" s="13">
        <f>IF(B10&gt;0,D10/B10,0)</f>
        <v/>
      </c>
      <c r="F10" s="12">
        <f>IF(J10&gt;0,D10/J10,0)</f>
        <v/>
      </c>
      <c r="G10" s="7" t="n">
        <v>1765</v>
      </c>
      <c r="H10" s="7" t="n">
        <v>1745</v>
      </c>
      <c r="I10" s="12" t="n">
        <v>479875</v>
      </c>
      <c r="J10" s="7" t="n">
        <v>1477</v>
      </c>
      <c r="K10" s="12" t="n">
        <v>137808.58</v>
      </c>
      <c r="L10" s="7" t="n">
        <v>222</v>
      </c>
      <c r="M10" s="7" t="n">
        <v>46</v>
      </c>
      <c r="N10" s="13">
        <f>IF(H10&gt;0,L10/H10,0)</f>
        <v/>
      </c>
      <c r="O10" s="13">
        <f>IF(G10&gt;0,H10/G10,0)</f>
        <v/>
      </c>
      <c r="P10" s="13">
        <f>IF(G10&gt;0,J10/G10,0)</f>
        <v/>
      </c>
      <c r="Q10" s="13">
        <f>IF(G10&gt;0,(G10-H10)/G10,0)</f>
        <v/>
      </c>
      <c r="R10" s="8" t="n">
        <v>275</v>
      </c>
    </row>
    <row r="11">
      <c r="A11" s="1" t="inlineStr">
        <is>
          <t>V6- P of 2</t>
        </is>
      </c>
      <c r="B11" s="12" t="n">
        <v>42596.46</v>
      </c>
      <c r="C11" s="12">
        <f>I11+K11</f>
        <v/>
      </c>
      <c r="D11" s="12">
        <f>B11-C11</f>
        <v/>
      </c>
      <c r="E11" s="13">
        <f>IF(B11&gt;0,D11/B11,0)</f>
        <v/>
      </c>
      <c r="F11" s="12">
        <f>IF(J11&gt;0,D11/J11,0)</f>
        <v/>
      </c>
      <c r="G11" s="7" t="n">
        <v>24</v>
      </c>
      <c r="H11" s="7" t="n">
        <v>24</v>
      </c>
      <c r="I11" s="12" t="n">
        <v>0</v>
      </c>
      <c r="J11" s="7" t="n">
        <v>23</v>
      </c>
      <c r="K11" s="12" t="n">
        <v>1951.75</v>
      </c>
      <c r="L11" s="7" t="n">
        <v>0</v>
      </c>
      <c r="M11" s="7" t="n">
        <v>1</v>
      </c>
      <c r="N11" s="13">
        <f>IF(H11&gt;0,L11/H11,0)</f>
        <v/>
      </c>
      <c r="O11" s="13">
        <f>IF(G11&gt;0,H11/G11,0)</f>
        <v/>
      </c>
      <c r="P11" s="13">
        <f>IF(G11&gt;0,J11/G11,0)</f>
        <v/>
      </c>
      <c r="Q11" s="13">
        <f>IF(G11&gt;0,(G11-H11)/G11,0)</f>
        <v/>
      </c>
      <c r="R11" s="8">
        <f>R10*2</f>
        <v/>
      </c>
    </row>
    <row r="12">
      <c r="A12" s="1" t="inlineStr">
        <is>
          <t>V9</t>
        </is>
      </c>
      <c r="B12" s="12" t="n">
        <v>1299826.3</v>
      </c>
      <c r="C12" s="12">
        <f>I12+K12</f>
        <v/>
      </c>
      <c r="D12" s="12">
        <f>B12-C12</f>
        <v/>
      </c>
      <c r="E12" s="13">
        <f>IF(B12&gt;0,D12/B12,0)</f>
        <v/>
      </c>
      <c r="F12" s="12">
        <f>IF(J12&gt;0,D12/J12,0)</f>
        <v/>
      </c>
      <c r="G12" s="7" t="n">
        <v>798</v>
      </c>
      <c r="H12" s="7" t="n">
        <v>788</v>
      </c>
      <c r="I12" s="12" t="n">
        <v>613064</v>
      </c>
      <c r="J12" s="7" t="n">
        <v>720</v>
      </c>
      <c r="K12" s="12" t="n">
        <v>103210.22</v>
      </c>
      <c r="L12" s="7" t="n">
        <v>56</v>
      </c>
      <c r="M12" s="7" t="n">
        <v>12</v>
      </c>
      <c r="N12" s="13">
        <f>IF(H12&gt;0,L12/H12,0)</f>
        <v/>
      </c>
      <c r="O12" s="13">
        <f>IF(G12&gt;0,H12/G12,0)</f>
        <v/>
      </c>
      <c r="P12" s="13">
        <f>IF(G12&gt;0,J12/G12,0)</f>
        <v/>
      </c>
      <c r="Q12" s="13">
        <f>IF(G12&gt;0,(G12-H12)/G12,0)</f>
        <v/>
      </c>
      <c r="R12" s="8" t="n">
        <v>778</v>
      </c>
    </row>
    <row r="13">
      <c r="A13" s="1" t="inlineStr">
        <is>
          <t>V9 P of 2</t>
        </is>
      </c>
      <c r="B13" s="12" t="n">
        <v>51102.56</v>
      </c>
      <c r="C13" s="12">
        <f>I13+K13</f>
        <v/>
      </c>
      <c r="D13" s="12">
        <f>B13-C13</f>
        <v/>
      </c>
      <c r="E13" s="13">
        <f>IF(B13&gt;0,D13/B13,0)</f>
        <v/>
      </c>
      <c r="F13" s="12">
        <f>IF(J13&gt;0,D13/J13,0)</f>
        <v/>
      </c>
      <c r="G13" s="7" t="n">
        <v>19</v>
      </c>
      <c r="H13" s="7" t="n">
        <v>19</v>
      </c>
      <c r="I13" s="12" t="n">
        <v>29564</v>
      </c>
      <c r="J13" s="7" t="n">
        <v>18</v>
      </c>
      <c r="K13" s="12" t="n">
        <v>2128.42</v>
      </c>
      <c r="L13" s="7" t="n">
        <v>1</v>
      </c>
      <c r="M13" s="7" t="n">
        <v>0</v>
      </c>
      <c r="N13" s="13">
        <f>IF(H13&gt;0,L13/H13,0)</f>
        <v/>
      </c>
      <c r="O13" s="13">
        <f>IF(G13&gt;0,H13/G13,0)</f>
        <v/>
      </c>
      <c r="P13" s="13">
        <f>IF(G13&gt;0,J13/G13,0)</f>
        <v/>
      </c>
      <c r="Q13" s="13">
        <f>IF(G13&gt;0,(G13-H13)/G13,0)</f>
        <v/>
      </c>
      <c r="R13" s="8" t="n">
        <v>1556</v>
      </c>
    </row>
    <row r="14">
      <c r="A14" s="1" t="inlineStr">
        <is>
          <t>V10</t>
        </is>
      </c>
      <c r="B14" s="12" t="n">
        <v>130247.17</v>
      </c>
      <c r="C14" s="12">
        <f>I14+K14</f>
        <v/>
      </c>
      <c r="D14" s="12">
        <f>B14-C14</f>
        <v/>
      </c>
      <c r="E14" s="13">
        <f>IF(B14&gt;0,D14/B14,0)</f>
        <v/>
      </c>
      <c r="F14" s="12">
        <f>IF(J14&gt;0,D14/J14,0)</f>
        <v/>
      </c>
      <c r="G14" s="7" t="n">
        <v>83</v>
      </c>
      <c r="H14" s="7" t="n">
        <v>81</v>
      </c>
      <c r="I14" s="12" t="n">
        <v>81729</v>
      </c>
      <c r="J14" s="7" t="n">
        <v>77</v>
      </c>
      <c r="K14" s="12" t="n">
        <v>7730.07</v>
      </c>
      <c r="L14" s="7" t="n">
        <v>3</v>
      </c>
      <c r="M14" s="7" t="n">
        <v>1</v>
      </c>
      <c r="N14" s="13">
        <f>IF(H14&gt;0,L14/H14,0)</f>
        <v/>
      </c>
      <c r="O14" s="13">
        <f>IF(G14&gt;0,H14/G14,0)</f>
        <v/>
      </c>
      <c r="P14" s="13">
        <f>IF(G14&gt;0,J14/G14,0)</f>
        <v/>
      </c>
      <c r="Q14" s="13">
        <f>IF(G14&gt;0,(G14-H14)/G14,0)</f>
        <v/>
      </c>
      <c r="R14" s="8" t="n">
        <v>1009</v>
      </c>
    </row>
    <row r="15">
      <c r="A15" s="1" t="inlineStr">
        <is>
          <t>Busy Book Pink</t>
        </is>
      </c>
      <c r="B15" s="12" t="n">
        <v>11755.76</v>
      </c>
      <c r="C15" s="12">
        <f>I15+K15</f>
        <v/>
      </c>
      <c r="D15" s="12">
        <f>B15-C15</f>
        <v/>
      </c>
      <c r="E15" s="13">
        <f>IF(B15&gt;0,D15/B15,0)</f>
        <v/>
      </c>
      <c r="F15" s="12">
        <f>IF(J15&gt;0,D15/J15,0)</f>
        <v/>
      </c>
      <c r="G15" s="7" t="n">
        <v>16</v>
      </c>
      <c r="H15" s="7" t="n">
        <v>16</v>
      </c>
      <c r="I15" s="12" t="n">
        <v>4800</v>
      </c>
      <c r="J15" s="7" t="n">
        <v>14</v>
      </c>
      <c r="K15" s="12" t="n">
        <v>1330.84</v>
      </c>
      <c r="L15" s="7" t="n">
        <v>2</v>
      </c>
      <c r="M15" s="7" t="n">
        <v>0</v>
      </c>
      <c r="N15" s="13">
        <f>IF(H15&gt;0,L15/H15,0)</f>
        <v/>
      </c>
      <c r="O15" s="13">
        <f>IF(G15&gt;0,H15/G15,0)</f>
        <v/>
      </c>
      <c r="P15" s="13">
        <f>IF(G15&gt;0,J15/G15,0)</f>
        <v/>
      </c>
      <c r="Q15" s="13">
        <f>IF(G15&gt;0,(G15-H15)/G15,0)</f>
        <v/>
      </c>
      <c r="R15" s="8" t="n">
        <v>300</v>
      </c>
    </row>
    <row r="16">
      <c r="A16" s="1" t="inlineStr">
        <is>
          <t>Busy Book Blue</t>
        </is>
      </c>
      <c r="B16" s="12" t="n">
        <v>249330.29</v>
      </c>
      <c r="C16" s="12">
        <f>I16+K16</f>
        <v/>
      </c>
      <c r="D16" s="12">
        <f>B16-C16</f>
        <v/>
      </c>
      <c r="E16" s="13">
        <f>IF(B16&gt;0,D16/B16,0)</f>
        <v/>
      </c>
      <c r="F16" s="12">
        <f>IF(J16&gt;0,D16/J16,0)</f>
        <v/>
      </c>
      <c r="G16" s="7" t="n">
        <v>326</v>
      </c>
      <c r="H16" s="7" t="n">
        <v>318</v>
      </c>
      <c r="I16" s="12" t="n">
        <v>95400</v>
      </c>
      <c r="J16" s="7" t="n">
        <v>310</v>
      </c>
      <c r="K16" s="12" t="n">
        <v>20805.48</v>
      </c>
      <c r="L16" s="7" t="n">
        <v>6</v>
      </c>
      <c r="M16" s="7" t="n">
        <v>2</v>
      </c>
      <c r="N16" s="13">
        <f>IF(H16&gt;0,L16/H16,0)</f>
        <v/>
      </c>
      <c r="O16" s="13">
        <f>IF(G16&gt;0,H16/G16,0)</f>
        <v/>
      </c>
      <c r="P16" s="13">
        <f>IF(G16&gt;0,J16/G16,0)</f>
        <v/>
      </c>
      <c r="Q16" s="13">
        <f>IF(G16&gt;0,(G16-H16)/G16,0)</f>
        <v/>
      </c>
      <c r="R16" s="8" t="n">
        <v>300</v>
      </c>
    </row>
    <row r="17">
      <c r="A17" s="1" t="inlineStr">
        <is>
          <t>Human Book</t>
        </is>
      </c>
      <c r="B17" s="12" t="n">
        <v>4502.15</v>
      </c>
      <c r="C17" s="12">
        <f>I17+K17</f>
        <v/>
      </c>
      <c r="D17" s="12">
        <f>B17-C17</f>
        <v/>
      </c>
      <c r="E17" s="13">
        <f>IF(B17&gt;0,D17/B17,0)</f>
        <v/>
      </c>
      <c r="F17" s="12">
        <f>IF(J17&gt;0,D17/J17,0)</f>
        <v/>
      </c>
      <c r="G17" s="7" t="n">
        <v>8</v>
      </c>
      <c r="H17" s="7" t="n">
        <v>6</v>
      </c>
      <c r="I17" s="12" t="n">
        <v>1800</v>
      </c>
      <c r="J17" s="7" t="n">
        <v>6</v>
      </c>
      <c r="K17" s="12" t="n">
        <v>280.24</v>
      </c>
      <c r="L17" s="7" t="n">
        <v>0</v>
      </c>
      <c r="M17" s="7" t="n">
        <v>0</v>
      </c>
      <c r="N17" s="13">
        <f>IF(H17&gt;0,L17/H17,0)</f>
        <v/>
      </c>
      <c r="O17" s="13">
        <f>IF(G17&gt;0,H17/G17,0)</f>
        <v/>
      </c>
      <c r="P17" s="13">
        <f>IF(G17&gt;0,J17/G17,0)</f>
        <v/>
      </c>
      <c r="Q17" s="13">
        <f>IF(G17&gt;0,(G17-H17)/G17,0)</f>
        <v/>
      </c>
      <c r="R17" s="8" t="n">
        <v>300</v>
      </c>
    </row>
    <row r="18">
      <c r="A18" s="1" t="inlineStr">
        <is>
          <t>V9-V3 Combo</t>
        </is>
      </c>
      <c r="B18" s="12" t="n">
        <v>53988.56</v>
      </c>
      <c r="C18" s="12">
        <f>I18+K18</f>
        <v/>
      </c>
      <c r="D18" s="12">
        <f>B18-C18</f>
        <v/>
      </c>
      <c r="E18" s="13">
        <f>IF(B18&gt;0,D18/B18,0)</f>
        <v/>
      </c>
      <c r="F18" s="12">
        <f>IF(J18&gt;0,D18/J18,0)</f>
        <v/>
      </c>
      <c r="G18" s="7" t="n">
        <v>19</v>
      </c>
      <c r="H18" s="7" t="n">
        <v>19</v>
      </c>
      <c r="I18" s="12" t="n">
        <v>27360</v>
      </c>
      <c r="J18" s="7" t="n">
        <v>19</v>
      </c>
      <c r="K18" s="12" t="n">
        <v>3126.2</v>
      </c>
      <c r="L18" s="7" t="n">
        <v>0</v>
      </c>
      <c r="M18" s="7" t="n">
        <v>0</v>
      </c>
      <c r="N18" s="13">
        <f>IF(H18&gt;0,L18/H18,0)</f>
        <v/>
      </c>
      <c r="O18" s="13">
        <f>IF(G18&gt;0,H18/G18,0)</f>
        <v/>
      </c>
      <c r="P18" s="13">
        <f>IF(G18&gt;0,J18/G18,0)</f>
        <v/>
      </c>
      <c r="Q18" s="13">
        <f>IF(G18&gt;0,(G18-H18)/G18,0)</f>
        <v/>
      </c>
      <c r="R18" s="8" t="n">
        <v>1440</v>
      </c>
    </row>
    <row r="19">
      <c r="A19" s="1" t="inlineStr">
        <is>
          <t>V9-V10 Combo</t>
        </is>
      </c>
      <c r="B19" s="12" t="n">
        <v>120367.77</v>
      </c>
      <c r="C19" s="12">
        <f>I19+K19</f>
        <v/>
      </c>
      <c r="D19" s="12">
        <f>B19-C19</f>
        <v/>
      </c>
      <c r="E19" s="13">
        <f>IF(B19&gt;0,D19/B19,0)</f>
        <v/>
      </c>
      <c r="F19" s="12">
        <f>IF(J19&gt;0,D19/J19,0)</f>
        <v/>
      </c>
      <c r="G19" s="7" t="n">
        <v>44</v>
      </c>
      <c r="H19" s="7" t="n">
        <v>42</v>
      </c>
      <c r="I19" s="12" t="n">
        <v>75054</v>
      </c>
      <c r="J19" s="7" t="n">
        <v>42</v>
      </c>
      <c r="K19" s="12" t="n">
        <v>7514.23</v>
      </c>
      <c r="L19" s="7" t="n">
        <v>0</v>
      </c>
      <c r="M19" s="7" t="n">
        <v>0</v>
      </c>
      <c r="N19" s="13">
        <f>IF(H19&gt;0,L19/H19,0)</f>
        <v/>
      </c>
      <c r="O19" s="13">
        <f>IF(G19&gt;0,H19/G19,0)</f>
        <v/>
      </c>
      <c r="P19" s="13">
        <f>IF(G19&gt;0,J19/G19,0)</f>
        <v/>
      </c>
      <c r="Q19" s="13">
        <f>IF(G19&gt;0,(G19-H19)/G19,0)</f>
        <v/>
      </c>
      <c r="R19" s="8" t="n">
        <v>1787</v>
      </c>
    </row>
    <row r="20">
      <c r="A20" s="1" t="inlineStr">
        <is>
          <t>V1-V4 Combo</t>
        </is>
      </c>
      <c r="B20" s="12" t="n">
        <v>8843</v>
      </c>
      <c r="C20" s="12">
        <f>I20+K20</f>
        <v/>
      </c>
      <c r="D20" s="12">
        <f>B20-C20</f>
        <v/>
      </c>
      <c r="E20" s="13">
        <f>IF(B20&gt;0,D20/B20,0)</f>
        <v/>
      </c>
      <c r="F20" s="12">
        <f>IF(J20&gt;0,D20/J20,0)</f>
        <v/>
      </c>
      <c r="G20" s="7" t="n">
        <v>10</v>
      </c>
      <c r="H20" s="7" t="n">
        <v>9</v>
      </c>
      <c r="I20" s="12" t="n">
        <v>3636</v>
      </c>
      <c r="J20" s="7" t="n">
        <v>7</v>
      </c>
      <c r="K20" s="12" t="n">
        <v>780.99</v>
      </c>
      <c r="L20" s="7" t="n">
        <v>2</v>
      </c>
      <c r="M20" s="7" t="n">
        <v>0</v>
      </c>
      <c r="N20" s="13">
        <f>IF(H20&gt;0,L20/H20,0)</f>
        <v/>
      </c>
      <c r="O20" s="13">
        <f>IF(G20&gt;0,H20/G20,0)</f>
        <v/>
      </c>
      <c r="P20" s="13">
        <f>IF(G20&gt;0,J20/G20,0)</f>
        <v/>
      </c>
      <c r="Q20" s="13">
        <f>IF(G20&gt;0,(G20-H20)/G20,0)</f>
        <v/>
      </c>
      <c r="R20" s="8" t="n">
        <v>404</v>
      </c>
    </row>
    <row r="21">
      <c r="A21" s="1" t="inlineStr">
        <is>
          <t>V6-V2 Combo</t>
        </is>
      </c>
      <c r="B21" s="12" t="n">
        <v>14595.53</v>
      </c>
      <c r="C21" s="12">
        <f>I21+K21</f>
        <v/>
      </c>
      <c r="D21" s="12">
        <f>B21-C21</f>
        <v/>
      </c>
      <c r="E21" s="13">
        <f>IF(B21&gt;0,D21/B21,0)</f>
        <v/>
      </c>
      <c r="F21" s="12">
        <f>IF(J21&gt;0,D21/J21,0)</f>
        <v/>
      </c>
      <c r="G21" s="7" t="n">
        <v>7</v>
      </c>
      <c r="H21" s="7" t="n">
        <v>7</v>
      </c>
      <c r="I21" s="12" t="n">
        <v>4284</v>
      </c>
      <c r="J21" s="7" t="n">
        <v>7</v>
      </c>
      <c r="K21" s="12" t="n">
        <v>821.34</v>
      </c>
      <c r="L21" s="7" t="n">
        <v>0</v>
      </c>
      <c r="M21" s="7" t="n">
        <v>0</v>
      </c>
      <c r="N21" s="13">
        <f>IF(H21&gt;0,L21/H21,0)</f>
        <v/>
      </c>
      <c r="O21" s="13">
        <f>IF(G21&gt;0,H21/G21,0)</f>
        <v/>
      </c>
      <c r="P21" s="13">
        <f>IF(G21&gt;0,J21/G21,0)</f>
        <v/>
      </c>
      <c r="Q21" s="13">
        <f>IF(G21&gt;0,(G21-H21)/G21,0)</f>
        <v/>
      </c>
      <c r="R21" s="8" t="n">
        <v>612</v>
      </c>
    </row>
    <row r="22">
      <c r="A22" s="1" t="inlineStr">
        <is>
          <t>V1-V2 Combo</t>
        </is>
      </c>
      <c r="B22" s="12" t="n">
        <v>9986.940000000001</v>
      </c>
      <c r="C22" s="12">
        <f>I22+K22</f>
        <v/>
      </c>
      <c r="D22" s="12">
        <f>B22-C22</f>
        <v/>
      </c>
      <c r="E22" s="13">
        <f>IF(B22&gt;0,D22/B22,0)</f>
        <v/>
      </c>
      <c r="F22" s="12">
        <f>IF(J22&gt;0,D22/J22,0)</f>
        <v/>
      </c>
      <c r="G22" s="7" t="n">
        <v>5</v>
      </c>
      <c r="H22" s="7" t="n">
        <v>5</v>
      </c>
      <c r="I22" s="12" t="n">
        <v>2620</v>
      </c>
      <c r="J22" s="7" t="n">
        <v>5</v>
      </c>
      <c r="K22" s="12" t="n">
        <v>400.7</v>
      </c>
      <c r="L22" s="7" t="n">
        <v>0</v>
      </c>
      <c r="M22" s="7" t="n">
        <v>0</v>
      </c>
      <c r="N22" s="13">
        <f>IF(H22&gt;0,L22/H22,0)</f>
        <v/>
      </c>
      <c r="O22" s="13">
        <f>IF(G22&gt;0,H22/G22,0)</f>
        <v/>
      </c>
      <c r="P22" s="13">
        <f>IF(G22&gt;0,J22/G22,0)</f>
        <v/>
      </c>
      <c r="Q22" s="13">
        <f>IF(G22&gt;0,(G22-H22)/G22,0)</f>
        <v/>
      </c>
      <c r="R22" s="8" t="n">
        <v>524</v>
      </c>
    </row>
    <row r="23">
      <c r="A23" s="9" t="inlineStr">
        <is>
          <t>V2-V4 Combo</t>
        </is>
      </c>
      <c r="B23" s="12" t="n">
        <v>9494</v>
      </c>
      <c r="C23" s="12">
        <f>I23+K23</f>
        <v/>
      </c>
      <c r="D23" s="12">
        <f>B23-C23</f>
        <v/>
      </c>
      <c r="E23" s="13">
        <f>IF(B23&gt;0,D23/B23,0)</f>
        <v/>
      </c>
      <c r="F23" s="12">
        <f>IF(J23&gt;0,D23/J23,0)</f>
        <v/>
      </c>
      <c r="G23" s="7" t="n">
        <v>6</v>
      </c>
      <c r="H23" s="7" t="n">
        <v>6</v>
      </c>
      <c r="I23" s="12" t="n">
        <v>2928</v>
      </c>
      <c r="J23" s="7" t="n">
        <v>6</v>
      </c>
      <c r="K23" s="12" t="n">
        <v>396.18</v>
      </c>
      <c r="L23" s="7" t="n">
        <v>0</v>
      </c>
      <c r="M23" s="7" t="n">
        <v>0</v>
      </c>
      <c r="N23" s="13">
        <f>IF(H23&gt;0,L23/H23,0)</f>
        <v/>
      </c>
      <c r="O23" s="13">
        <f>IF(G23&gt;0,H23/G23,0)</f>
        <v/>
      </c>
      <c r="P23" s="13">
        <f>IF(G23&gt;0,J23/G23,0)</f>
        <v/>
      </c>
      <c r="Q23" s="13">
        <f>IF(G23&gt;0,(G23-H23)/G23,0)</f>
        <v/>
      </c>
      <c r="R23" s="10" t="n">
        <v>488</v>
      </c>
    </row>
    <row r="24">
      <c r="A24" s="9" t="inlineStr">
        <is>
          <t>V9-V2 Combo</t>
        </is>
      </c>
      <c r="B24" s="12" t="n">
        <v>54104.29</v>
      </c>
      <c r="C24" s="12">
        <f>I24+K24</f>
        <v/>
      </c>
      <c r="D24" s="12">
        <f>B24-C24</f>
        <v/>
      </c>
      <c r="E24" s="13">
        <f>IF(B24&gt;0,D24/B24,0)</f>
        <v/>
      </c>
      <c r="F24" s="12">
        <f>IF(J24&gt;0,D24/J24,0)</f>
        <v/>
      </c>
      <c r="G24" s="7" t="n">
        <v>21</v>
      </c>
      <c r="H24" s="7" t="n">
        <v>21</v>
      </c>
      <c r="I24" s="12" t="n">
        <v>10248</v>
      </c>
      <c r="J24" s="7" t="n">
        <v>20</v>
      </c>
      <c r="K24" s="12" t="n">
        <v>3865.82</v>
      </c>
      <c r="L24" s="7" t="n">
        <v>0</v>
      </c>
      <c r="M24" s="7" t="n">
        <v>1</v>
      </c>
      <c r="N24" s="13">
        <f>IF(H24&gt;0,L24/H24,0)</f>
        <v/>
      </c>
      <c r="O24" s="13">
        <f>IF(G24&gt;0,H24/G24,0)</f>
        <v/>
      </c>
      <c r="P24" s="13">
        <f>IF(G24&gt;0,J24/G24,0)</f>
        <v/>
      </c>
      <c r="Q24" s="13">
        <f>IF(G24&gt;0,(G24-H24)/G24,0)</f>
        <v/>
      </c>
      <c r="R24" s="8" t="n">
        <v>488</v>
      </c>
    </row>
    <row r="25">
      <c r="A25" s="9" t="inlineStr">
        <is>
          <t>V6-V1 Combo</t>
        </is>
      </c>
      <c r="B25" s="12" t="n">
        <v>218285.34</v>
      </c>
      <c r="C25" s="12">
        <f>I25+K25</f>
        <v/>
      </c>
      <c r="D25" s="12">
        <f>B25-C25</f>
        <v/>
      </c>
      <c r="E25" s="13">
        <f>IF(B25&gt;0,D25/B25,0)</f>
        <v/>
      </c>
      <c r="F25" s="12">
        <f>IF(J25&gt;0,D25/J25,0)</f>
        <v/>
      </c>
      <c r="G25" s="7" t="n">
        <v>184</v>
      </c>
      <c r="H25" s="7" t="n">
        <v>183</v>
      </c>
      <c r="I25" s="12" t="n">
        <v>111264</v>
      </c>
      <c r="J25" s="7" t="n">
        <v>174</v>
      </c>
      <c r="K25" s="12" t="n">
        <v>13177.26</v>
      </c>
      <c r="L25" s="7" t="n">
        <v>8</v>
      </c>
      <c r="M25" s="7" t="n">
        <v>1</v>
      </c>
      <c r="N25" s="13">
        <f>IF(H25&gt;0,L25/H25,0)</f>
        <v/>
      </c>
      <c r="O25" s="13">
        <f>IF(G25&gt;0,H25/G25,0)</f>
        <v/>
      </c>
      <c r="P25" s="13">
        <f>IF(G25&gt;0,J25/G25,0)</f>
        <v/>
      </c>
      <c r="Q25" s="13">
        <f>IF(G25&gt;0,(G25-H25)/G25,0)</f>
        <v/>
      </c>
      <c r="R25" s="8" t="n">
        <v>608</v>
      </c>
    </row>
    <row r="26">
      <c r="A26" s="9" t="inlineStr">
        <is>
          <t>Ganesha</t>
        </is>
      </c>
      <c r="B26" s="12" t="n">
        <v>269612.03</v>
      </c>
      <c r="C26" s="12">
        <f>I26+K26</f>
        <v/>
      </c>
      <c r="D26" s="12">
        <f>B26-C26</f>
        <v/>
      </c>
      <c r="E26" s="13">
        <f>IF(B26&gt;0,D26/B26,0)</f>
        <v/>
      </c>
      <c r="F26" s="12">
        <f>IF(J26&gt;0,D26/J26,0)</f>
        <v/>
      </c>
      <c r="G26" s="7" t="n">
        <v>707</v>
      </c>
      <c r="H26" s="7" t="n">
        <v>552</v>
      </c>
      <c r="I26" s="12" t="n">
        <v>160080</v>
      </c>
      <c r="J26" s="7" t="n">
        <v>310</v>
      </c>
      <c r="K26" s="12" t="n">
        <v>52568.46</v>
      </c>
      <c r="L26" s="7" t="n">
        <v>149</v>
      </c>
      <c r="M26" s="7" t="n">
        <v>93</v>
      </c>
      <c r="N26" s="13">
        <f>IF(H26&gt;0,L26/H26,0)</f>
        <v/>
      </c>
      <c r="O26" s="13">
        <f>IF(G26&gt;0,H26/G26,0)</f>
        <v/>
      </c>
      <c r="P26" s="13">
        <f>IF(G26&gt;0,J26/G26,0)</f>
        <v/>
      </c>
      <c r="Q26" s="13">
        <f>IF(G26&gt;0,(G26-H26)/G26,0)</f>
        <v/>
      </c>
      <c r="R26" s="8" t="n">
        <v>290</v>
      </c>
    </row>
    <row r="27">
      <c r="A27" s="9" t="inlineStr">
        <is>
          <t>Krishna</t>
        </is>
      </c>
      <c r="B27" s="12" t="n">
        <v>122037.99</v>
      </c>
      <c r="C27" s="12">
        <f>I27+K27</f>
        <v/>
      </c>
      <c r="D27" s="12">
        <f>B27-C27</f>
        <v/>
      </c>
      <c r="E27" s="13">
        <f>IF(B27&gt;0,D27/B27,0)</f>
        <v/>
      </c>
      <c r="F27" s="12">
        <f>IF(J27&gt;0,D27/J27,0)</f>
        <v/>
      </c>
      <c r="G27" s="7" t="n">
        <v>364</v>
      </c>
      <c r="H27" s="7" t="n">
        <v>267</v>
      </c>
      <c r="I27" s="12" t="n">
        <v>77430</v>
      </c>
      <c r="J27" s="7" t="n">
        <v>136</v>
      </c>
      <c r="K27" s="12" t="n">
        <v>25787.77</v>
      </c>
      <c r="L27" s="7" t="n">
        <v>86</v>
      </c>
      <c r="M27" s="7" t="n">
        <v>45</v>
      </c>
      <c r="N27" s="13">
        <f>IF(H27&gt;0,L27/H27,0)</f>
        <v/>
      </c>
      <c r="O27" s="13">
        <f>IF(G27&gt;0,H27/G27,0)</f>
        <v/>
      </c>
      <c r="P27" s="13">
        <f>IF(G27&gt;0,J27/G27,0)</f>
        <v/>
      </c>
      <c r="Q27" s="13">
        <f>IF(G27&gt;0,(G27-H27)/G27,0)</f>
        <v/>
      </c>
      <c r="R27" s="8" t="n">
        <v>290</v>
      </c>
    </row>
    <row r="28">
      <c r="A28" s="9" t="inlineStr">
        <is>
          <t>Hanuman</t>
        </is>
      </c>
      <c r="B28" s="12" t="n">
        <v>17046.92</v>
      </c>
      <c r="C28" s="12">
        <f>I28+K28</f>
        <v/>
      </c>
      <c r="D28" s="12">
        <f>B28-C28</f>
        <v/>
      </c>
      <c r="E28" s="13">
        <f>IF(B28&gt;0,D28/B28,0)</f>
        <v/>
      </c>
      <c r="F28" s="12">
        <f>IF(J28&gt;0,D28/J28,0)</f>
        <v/>
      </c>
      <c r="G28" s="7" t="n">
        <v>30</v>
      </c>
      <c r="H28" s="7" t="n">
        <v>28</v>
      </c>
      <c r="I28" s="12" t="n">
        <v>8120</v>
      </c>
      <c r="J28" s="7" t="n">
        <v>20</v>
      </c>
      <c r="K28" s="12" t="n">
        <v>1990</v>
      </c>
      <c r="L28" s="7" t="n">
        <v>5</v>
      </c>
      <c r="M28" s="7" t="n">
        <v>3</v>
      </c>
      <c r="N28" s="13">
        <f>IF(H28&gt;0,L28/H28,0)</f>
        <v/>
      </c>
      <c r="O28" s="13">
        <f>IF(G28&gt;0,H28/G28,0)</f>
        <v/>
      </c>
      <c r="P28" s="13">
        <f>IF(G28&gt;0,J28/G28,0)</f>
        <v/>
      </c>
      <c r="Q28" s="13">
        <f>IF(G28&gt;0,(G28-H28)/G28,0)</f>
        <v/>
      </c>
      <c r="R28" s="8" t="n">
        <v>290</v>
      </c>
    </row>
    <row r="29">
      <c r="A29" s="9" t="inlineStr">
        <is>
          <t>Car</t>
        </is>
      </c>
      <c r="B29" s="12" t="n">
        <v>167673.78</v>
      </c>
      <c r="C29" s="12">
        <f>I29+K29</f>
        <v/>
      </c>
      <c r="D29" s="12">
        <f>B29-C29</f>
        <v/>
      </c>
      <c r="E29" s="13">
        <f>IF(B29&gt;0,D29/B29,0)</f>
        <v/>
      </c>
      <c r="F29" s="12">
        <f>IF(J29&gt;0,D29/J29,0)</f>
        <v/>
      </c>
      <c r="G29" s="7" t="n">
        <v>277</v>
      </c>
      <c r="H29" s="7" t="n">
        <v>183</v>
      </c>
      <c r="I29" s="12" t="n">
        <v>98820</v>
      </c>
      <c r="J29" s="7" t="n">
        <v>132</v>
      </c>
      <c r="K29" s="12" t="n">
        <v>20615.99</v>
      </c>
      <c r="L29" s="7" t="n">
        <v>43</v>
      </c>
      <c r="M29" s="7" t="n">
        <v>8</v>
      </c>
      <c r="N29" s="13">
        <f>IF(H29&gt;0,L29/H29,0)</f>
        <v/>
      </c>
      <c r="O29" s="13">
        <f>IF(G29&gt;0,H29/G29,0)</f>
        <v/>
      </c>
      <c r="P29" s="13">
        <f>IF(G29&gt;0,J29/G29,0)</f>
        <v/>
      </c>
      <c r="Q29" s="13">
        <f>IF(G29&gt;0,(G29-H29)/G29,0)</f>
        <v/>
      </c>
      <c r="R29" s="8" t="n">
        <v>540</v>
      </c>
    </row>
    <row r="30">
      <c r="A30" s="9" t="inlineStr">
        <is>
          <t>Tank</t>
        </is>
      </c>
      <c r="B30" s="12" t="n">
        <v>405693.12</v>
      </c>
      <c r="C30" s="12">
        <f>I30+K30</f>
        <v/>
      </c>
      <c r="D30" s="12">
        <f>B30-C30</f>
        <v/>
      </c>
      <c r="E30" s="13">
        <f>IF(B30&gt;0,D30/B30,0)</f>
        <v/>
      </c>
      <c r="F30" s="12">
        <f>IF(J30&gt;0,D30/J30,0)</f>
        <v/>
      </c>
      <c r="G30" s="7" t="n">
        <v>460</v>
      </c>
      <c r="H30" s="7" t="n">
        <v>351</v>
      </c>
      <c r="I30" s="12" t="n">
        <v>302562</v>
      </c>
      <c r="J30" s="7" t="n">
        <v>276</v>
      </c>
      <c r="K30" s="12" t="n">
        <v>50652.3</v>
      </c>
      <c r="L30" s="7" t="n">
        <v>58</v>
      </c>
      <c r="M30" s="7" t="n">
        <v>17</v>
      </c>
      <c r="N30" s="13">
        <f>IF(H30&gt;0,L30/H30,0)</f>
        <v/>
      </c>
      <c r="O30" s="13">
        <f>IF(G30&gt;0,H30/G30,0)</f>
        <v/>
      </c>
      <c r="P30" s="13">
        <f>IF(G30&gt;0,J30/G30,0)</f>
        <v/>
      </c>
      <c r="Q30" s="13">
        <f>IF(G30&gt;0,(G30-H30)/G30,0)</f>
        <v/>
      </c>
      <c r="R30" s="8" t="n">
        <v>862</v>
      </c>
    </row>
    <row r="31">
      <c r="A31" s="3" t="inlineStr">
        <is>
          <t>JCB</t>
        </is>
      </c>
      <c r="B31" s="12" t="n">
        <v>0</v>
      </c>
      <c r="C31" s="12">
        <f>I31+K31</f>
        <v/>
      </c>
      <c r="D31" s="12">
        <f>B31-C31</f>
        <v/>
      </c>
      <c r="E31" s="13">
        <f>IF(B31&gt;0,D31/B31,0)</f>
        <v/>
      </c>
      <c r="F31" s="12">
        <f>IF(J31&gt;0,D31/J31,0)</f>
        <v/>
      </c>
      <c r="G31" s="7" t="n">
        <v>18</v>
      </c>
      <c r="H31" s="7" t="n">
        <v>0</v>
      </c>
      <c r="I31" s="12" t="n">
        <v>0</v>
      </c>
      <c r="J31" s="7" t="n">
        <v>0</v>
      </c>
      <c r="K31" s="12" t="n">
        <v>0</v>
      </c>
      <c r="L31" s="7" t="n">
        <v>0</v>
      </c>
      <c r="M31" s="7" t="n">
        <v>0</v>
      </c>
      <c r="N31" s="13">
        <f>IF(H31&gt;0,L31/H31,0)</f>
        <v/>
      </c>
      <c r="O31" s="13">
        <f>IF(G31&gt;0,H31/G31,0)</f>
        <v/>
      </c>
      <c r="P31" s="13">
        <f>IF(G31&gt;0,J31/G31,0)</f>
        <v/>
      </c>
      <c r="Q31" s="13">
        <f>IF(G31&gt;0,(G31-H31)/G31,0)</f>
        <v/>
      </c>
      <c r="R31" s="7" t="n"/>
    </row>
    <row r="32">
      <c r="A32" s="0" t="inlineStr">
        <is>
          <t>Total</t>
        </is>
      </c>
      <c r="B32" s="14">
        <f>SUM(B2:B31)</f>
        <v/>
      </c>
      <c r="C32" s="14">
        <f>I32+K32</f>
        <v/>
      </c>
      <c r="D32" s="14">
        <f>B32-C32</f>
        <v/>
      </c>
      <c r="E32" s="15">
        <f>IF(B32&gt;0,D32/B32,0)</f>
        <v/>
      </c>
      <c r="F32" s="14">
        <f>IF(J32&gt;0,D32/J32,0)</f>
        <v/>
      </c>
      <c r="G32" s="0">
        <f>SUM(G2:G31)</f>
        <v/>
      </c>
      <c r="H32" s="0">
        <f>SUM(H2:H31)</f>
        <v/>
      </c>
      <c r="I32" s="14">
        <f>SUM(I2:I31)</f>
        <v/>
      </c>
      <c r="J32" s="0">
        <f>SUM(J2:J31)</f>
        <v/>
      </c>
      <c r="K32" s="14">
        <f>SUM(K2:K31)</f>
        <v/>
      </c>
      <c r="L32" s="0">
        <f>SUM(L2:L31)</f>
        <v/>
      </c>
      <c r="M32" s="0">
        <f>SUM(M2:M31)</f>
        <v/>
      </c>
      <c r="N32" s="15">
        <f>IF(H32&gt;0,L32/H32,0)</f>
        <v/>
      </c>
      <c r="O32" s="15">
        <f>IF(G32&gt;0,H32/G32,0)</f>
        <v/>
      </c>
      <c r="P32" s="15">
        <f>IF(G32&gt;0,J32/G32,0)</f>
        <v/>
      </c>
      <c r="Q32" s="15">
        <f>IF(G32&gt;0,(G32-H32)/G32,0)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2026-03-10T13:24:55Z</dcterms:created>
  <dcterms:modified xmlns:dcterms="http://purl.org/dc/terms/" xmlns:xsi="http://www.w3.org/2001/XMLSchema-instance" xsi:type="dcterms:W3CDTF">2026-03-10T14:03:47Z</dcterms:modified>
</cp:coreProperties>
</file>