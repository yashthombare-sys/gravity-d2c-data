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" sheetId="1" r:id="rId5"/>
    <sheet state="visible" name="May" sheetId="2" r:id="rId6"/>
    <sheet state="visible" name="June" sheetId="3" r:id="rId7"/>
    <sheet state="visible" name="July" sheetId="4" r:id="rId8"/>
    <sheet state="visible" name="Aug" sheetId="5" r:id="rId9"/>
    <sheet state="visible" name="Sep" sheetId="6" r:id="rId10"/>
    <sheet state="visible" name="OCt" sheetId="7" r:id="rId11"/>
    <sheet state="visible" name="Nov" sheetId="8" r:id="rId12"/>
    <sheet state="visible" name="Dec" sheetId="9" r:id="rId13"/>
    <sheet state="visible" name="Jan26" sheetId="10" r:id="rId14"/>
  </sheets>
  <definedNames/>
  <calcPr/>
</workbook>
</file>

<file path=xl/sharedStrings.xml><?xml version="1.0" encoding="utf-8"?>
<sst xmlns="http://schemas.openxmlformats.org/spreadsheetml/2006/main" count="207" uniqueCount="28">
  <si>
    <t xml:space="preserve"> </t>
  </si>
  <si>
    <t>Total revenue</t>
  </si>
  <si>
    <t>Delivered</t>
  </si>
  <si>
    <t>COGS</t>
  </si>
  <si>
    <t>Profit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</si>
  <si>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</si>
  <si>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</si>
  <si>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</si>
  <si>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</si>
  <si>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</si>
  <si>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</si>
  <si>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</si>
  <si>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</si>
  <si>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</si>
  <si>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BB</t>
  </si>
  <si>
    <t>V1V4</t>
  </si>
  <si>
    <t>V1V2</t>
  </si>
  <si>
    <t>V1V6</t>
  </si>
  <si>
    <t>V2V4</t>
  </si>
  <si>
    <t>V2V6</t>
  </si>
  <si>
    <t>V10</t>
  </si>
  <si>
    <t>V9V10</t>
  </si>
  <si>
    <t>V4 Pack of 3</t>
  </si>
  <si>
    <t>V4V6</t>
  </si>
  <si>
    <t>V2V9</t>
  </si>
  <si>
    <t>V1 Pack of 2</t>
  </si>
  <si>
    <t>BB Blue</t>
  </si>
  <si>
    <t>BB 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</si>
</sst>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3" fillId="2" fontId="2" numFmtId="0" xfId="0" applyAlignment="1" applyBorder="1" applyFill="1" applyFont="1">
      <alignment horizontal="right" vertical="bottom"/>
    </xf>
    <xf borderId="3" fillId="3" fontId="1" numFmtId="0" xfId="0" applyAlignment="1" applyBorder="1" applyFill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3" fontId="1" numFmtId="0" xfId="0" applyAlignment="1" applyBorder="1" applyFont="1">
      <alignment horizontal="right" vertical="bottom"/>
    </xf>
    <xf borderId="3" fillId="2" fontId="4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0" fillId="2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2" fontId="5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v>78240.84</v>
      </c>
      <c r="C2" s="6">
        <v>110.0</v>
      </c>
    </row>
    <row r="3">
      <c r="A3" s="4" t="s">
        <v>6</v>
      </c>
      <c r="B3" s="5">
        <v>55014.0</v>
      </c>
      <c r="C3" s="6">
        <v>58.0</v>
      </c>
    </row>
    <row r="4">
      <c r="A4" s="4" t="s">
        <v>7</v>
      </c>
      <c r="B4" s="5">
        <v>0.0</v>
      </c>
      <c r="C4" s="6">
        <v>0.0</v>
      </c>
    </row>
    <row r="5">
      <c r="A5" s="4" t="s">
        <v>8</v>
      </c>
      <c r="B5" s="5">
        <v>14350.52</v>
      </c>
      <c r="C5" s="6">
        <v>34.0</v>
      </c>
    </row>
    <row r="6">
      <c r="A6" s="4" t="s">
        <v>9</v>
      </c>
      <c r="B6" s="5">
        <v>6839.28</v>
      </c>
      <c r="C6" s="6">
        <v>10.0</v>
      </c>
    </row>
    <row r="7">
      <c r="A7" s="4" t="s">
        <v>10</v>
      </c>
      <c r="B7" s="5">
        <v>27026.34</v>
      </c>
      <c r="C7" s="6">
        <v>32.0</v>
      </c>
    </row>
    <row r="8">
      <c r="A8" s="4" t="s">
        <v>11</v>
      </c>
      <c r="B8" s="5">
        <v>4873.03</v>
      </c>
      <c r="C8" s="6">
        <v>6.0</v>
      </c>
    </row>
    <row r="9">
      <c r="A9" s="4" t="s">
        <v>12</v>
      </c>
      <c r="B9" s="5">
        <v>0.0</v>
      </c>
      <c r="C9" s="6">
        <v>0.0</v>
      </c>
    </row>
    <row r="10">
      <c r="A10" s="4" t="s">
        <v>13</v>
      </c>
      <c r="B10" s="5">
        <v>0.0</v>
      </c>
      <c r="C10" s="6">
        <v>0.0</v>
      </c>
    </row>
    <row r="11">
      <c r="A11" s="4" t="s">
        <v>14</v>
      </c>
      <c r="B11" s="5">
        <v>0.0</v>
      </c>
      <c r="C11" s="6">
        <v>0.0</v>
      </c>
    </row>
    <row r="12">
      <c r="A12" s="4" t="s">
        <v>15</v>
      </c>
      <c r="B12" s="5">
        <v>24365.23</v>
      </c>
      <c r="C12" s="6">
        <v>25.0</v>
      </c>
    </row>
    <row r="13">
      <c r="A13" s="4" t="s">
        <v>16</v>
      </c>
      <c r="B13" s="5">
        <v>5847.65</v>
      </c>
      <c r="C13" s="6">
        <v>4.0</v>
      </c>
    </row>
    <row r="14">
      <c r="A14" s="4" t="s">
        <v>17</v>
      </c>
      <c r="B14" s="5">
        <v>5847.65</v>
      </c>
      <c r="C14" s="6">
        <v>4.0</v>
      </c>
    </row>
    <row r="15">
      <c r="A15" s="4" t="s">
        <v>18</v>
      </c>
      <c r="B15" s="5">
        <v>16113.51</v>
      </c>
      <c r="C15" s="6">
        <v>16.0</v>
      </c>
    </row>
    <row r="16">
      <c r="A16" s="4" t="s">
        <v>19</v>
      </c>
      <c r="B16" s="5">
        <v>14619.13</v>
      </c>
      <c r="C16" s="6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32007.61+21338.41</f>
        <v>53346.02</v>
      </c>
      <c r="C2" s="6">
        <f>45+30</f>
        <v>75</v>
      </c>
    </row>
    <row r="3">
      <c r="A3" s="4" t="s">
        <v>6</v>
      </c>
      <c r="B3" s="5">
        <v>36044.18</v>
      </c>
      <c r="C3" s="6">
        <v>38.0</v>
      </c>
    </row>
    <row r="4">
      <c r="A4" s="4" t="s">
        <v>7</v>
      </c>
      <c r="B4" s="5">
        <f>1120.7994</f>
        <v>1120.7994</v>
      </c>
      <c r="C4" s="6">
        <v>1.0</v>
      </c>
    </row>
    <row r="5">
      <c r="A5" s="4" t="s">
        <v>8</v>
      </c>
      <c r="B5" s="5">
        <v>13928.44</v>
      </c>
      <c r="C5" s="6">
        <v>33.0</v>
      </c>
    </row>
    <row r="6">
      <c r="A6" s="4" t="s">
        <v>9</v>
      </c>
      <c r="B6" s="5">
        <v>8207.13</v>
      </c>
      <c r="C6" s="6">
        <v>12.0</v>
      </c>
    </row>
    <row r="7">
      <c r="A7" s="4" t="s">
        <v>10</v>
      </c>
      <c r="B7" s="5">
        <v>5812.67</v>
      </c>
      <c r="C7" s="6">
        <v>7.0</v>
      </c>
    </row>
    <row r="8">
      <c r="A8" s="4" t="s">
        <v>11</v>
      </c>
      <c r="B8" s="5">
        <f>7309.53</f>
        <v>7309.53</v>
      </c>
      <c r="C8" s="6">
        <v>9.0</v>
      </c>
    </row>
    <row r="9">
      <c r="A9" s="4" t="s">
        <v>12</v>
      </c>
      <c r="B9" s="5">
        <v>2651.1</v>
      </c>
      <c r="C9" s="6">
        <v>2.0</v>
      </c>
    </row>
    <row r="10">
      <c r="A10" s="4" t="s">
        <v>13</v>
      </c>
      <c r="B10" s="5">
        <f>2651.1</f>
        <v>2651.1</v>
      </c>
      <c r="C10" s="6">
        <v>2.0</v>
      </c>
    </row>
    <row r="11">
      <c r="A11" s="4" t="s">
        <v>14</v>
      </c>
      <c r="B11" s="5">
        <v>0.0</v>
      </c>
      <c r="C11" s="6">
        <v>0.0</v>
      </c>
    </row>
    <row r="12">
      <c r="A12" s="4" t="s">
        <v>15</v>
      </c>
      <c r="B12" s="5">
        <v>31187.49</v>
      </c>
      <c r="C12" s="6">
        <v>32.0</v>
      </c>
    </row>
    <row r="13">
      <c r="A13" s="4" t="s">
        <v>16</v>
      </c>
      <c r="B13" s="5">
        <f>4385.74</f>
        <v>4385.74</v>
      </c>
      <c r="C13" s="6">
        <v>3.0</v>
      </c>
    </row>
    <row r="14">
      <c r="A14" s="4" t="s">
        <v>17</v>
      </c>
      <c r="B14" s="5">
        <v>14619.13</v>
      </c>
      <c r="C14" s="6">
        <v>10.0</v>
      </c>
    </row>
    <row r="15">
      <c r="A15" s="4" t="s">
        <v>18</v>
      </c>
      <c r="B15" s="5">
        <v>34241.21</v>
      </c>
      <c r="C15" s="6">
        <v>34.0</v>
      </c>
    </row>
    <row r="16">
      <c r="A16" s="4" t="s">
        <v>19</v>
      </c>
      <c r="B16" s="5">
        <v>27776.36</v>
      </c>
      <c r="C16" s="6">
        <v>19.0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46233.226</f>
        <v>46233.226</v>
      </c>
      <c r="C2" s="6">
        <v>65.0</v>
      </c>
    </row>
    <row r="3">
      <c r="A3" s="4" t="s">
        <v>6</v>
      </c>
      <c r="B3" s="5">
        <f>14227.968</f>
        <v>14227.968</v>
      </c>
      <c r="C3" s="6">
        <v>15.0</v>
      </c>
    </row>
    <row r="4">
      <c r="A4" s="4" t="s">
        <v>7</v>
      </c>
      <c r="B4" s="5">
        <f>10087.1946</f>
        <v>10087.1946</v>
      </c>
      <c r="C4" s="6">
        <v>10.0</v>
      </c>
    </row>
    <row r="5">
      <c r="A5" s="4" t="s">
        <v>8</v>
      </c>
      <c r="B5" s="5">
        <f>7175.26</f>
        <v>7175.26</v>
      </c>
      <c r="C5" s="6">
        <v>17.0</v>
      </c>
    </row>
    <row r="6">
      <c r="A6" s="4" t="s">
        <v>9</v>
      </c>
      <c r="B6" s="5">
        <v>0.0</v>
      </c>
      <c r="C6" s="6">
        <v>0.0</v>
      </c>
    </row>
    <row r="7">
      <c r="A7" s="4" t="s">
        <v>10</v>
      </c>
      <c r="B7" s="5">
        <v>0.0</v>
      </c>
      <c r="C7" s="6">
        <v>0.0</v>
      </c>
    </row>
    <row r="8">
      <c r="A8" s="4" t="s">
        <v>11</v>
      </c>
      <c r="B8" s="5">
        <f>3248.68</f>
        <v>3248.68</v>
      </c>
      <c r="C8" s="6">
        <v>4.0</v>
      </c>
    </row>
    <row r="9">
      <c r="A9" s="4" t="s">
        <v>12</v>
      </c>
      <c r="B9" s="5">
        <v>0.0</v>
      </c>
      <c r="C9" s="6">
        <v>0.0</v>
      </c>
    </row>
    <row r="10">
      <c r="A10" s="4" t="s">
        <v>13</v>
      </c>
      <c r="B10" s="5">
        <f>34464.378</f>
        <v>34464.378</v>
      </c>
      <c r="C10" s="6">
        <v>26.0</v>
      </c>
    </row>
    <row r="11">
      <c r="A11" s="4" t="s">
        <v>14</v>
      </c>
      <c r="B11" s="5">
        <f>633.3296</f>
        <v>633.3296</v>
      </c>
      <c r="C11" s="6">
        <v>1.0</v>
      </c>
    </row>
    <row r="12">
      <c r="A12" s="4" t="s">
        <v>15</v>
      </c>
      <c r="B12" s="5">
        <f>14619.138</f>
        <v>14619.138</v>
      </c>
      <c r="C12" s="6">
        <v>15.0</v>
      </c>
    </row>
    <row r="13">
      <c r="A13" s="4" t="s">
        <v>16</v>
      </c>
      <c r="B13" s="5">
        <f>4385.74</f>
        <v>4385.74</v>
      </c>
      <c r="C13" s="6">
        <v>3.0</v>
      </c>
    </row>
    <row r="14">
      <c r="A14" s="4" t="s">
        <v>17</v>
      </c>
      <c r="B14" s="5">
        <v>0.0</v>
      </c>
      <c r="C14" s="6">
        <v>0.0</v>
      </c>
    </row>
    <row r="15">
      <c r="A15" s="4" t="s">
        <v>18</v>
      </c>
      <c r="B15" s="5">
        <f>14099.32</f>
        <v>14099.32</v>
      </c>
      <c r="C15" s="6">
        <v>14.0</v>
      </c>
    </row>
    <row r="16">
      <c r="A16" s="4" t="s">
        <v>19</v>
      </c>
      <c r="B16" s="5">
        <v>0.0</v>
      </c>
      <c r="C16" s="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95311.57</f>
        <v>95311.57</v>
      </c>
      <c r="C2" s="6">
        <v>134.0</v>
      </c>
    </row>
    <row r="3">
      <c r="A3" s="4" t="s">
        <v>6</v>
      </c>
      <c r="B3" s="5">
        <f>32250.06</f>
        <v>32250.06</v>
      </c>
      <c r="C3" s="6">
        <v>34.0</v>
      </c>
    </row>
    <row r="4">
      <c r="A4" s="4" t="s">
        <v>7</v>
      </c>
      <c r="B4" s="5">
        <f>28019.98</f>
        <v>28019.98</v>
      </c>
      <c r="C4" s="6">
        <v>25.0</v>
      </c>
    </row>
    <row r="5">
      <c r="A5" s="4" t="s">
        <v>8</v>
      </c>
      <c r="B5" s="5">
        <f>16460.89</f>
        <v>16460.89</v>
      </c>
      <c r="C5" s="6">
        <v>39.0</v>
      </c>
    </row>
    <row r="6">
      <c r="A6" s="4" t="s">
        <v>9</v>
      </c>
      <c r="B6" s="5">
        <v>0.0</v>
      </c>
      <c r="C6" s="6">
        <v>0.0</v>
      </c>
    </row>
    <row r="7">
      <c r="A7" s="4" t="s">
        <v>10</v>
      </c>
      <c r="B7" s="5">
        <f>13514.68</f>
        <v>13514.68</v>
      </c>
      <c r="C7" s="6">
        <v>16.0</v>
      </c>
    </row>
    <row r="8">
      <c r="A8" s="4" t="s">
        <v>11</v>
      </c>
      <c r="B8" s="5">
        <f>1099*2</f>
        <v>2198</v>
      </c>
      <c r="C8" s="6">
        <v>2.0</v>
      </c>
    </row>
    <row r="9">
      <c r="A9" s="4" t="s">
        <v>12</v>
      </c>
      <c r="B9" s="5">
        <v>0.0</v>
      </c>
      <c r="C9" s="6">
        <v>0.0</v>
      </c>
    </row>
    <row r="10">
      <c r="A10" s="4" t="s">
        <v>13</v>
      </c>
      <c r="B10" s="5">
        <v>0.0</v>
      </c>
      <c r="C10" s="6">
        <v>0.0</v>
      </c>
    </row>
    <row r="11">
      <c r="A11" s="4" t="s">
        <v>14</v>
      </c>
      <c r="B11" s="5">
        <f>5066.63</f>
        <v>5066.63</v>
      </c>
      <c r="C11" s="6">
        <v>8.0</v>
      </c>
    </row>
    <row r="12">
      <c r="A12" s="4" t="s">
        <v>15</v>
      </c>
      <c r="B12" s="5">
        <f>30212.88</f>
        <v>30212.88</v>
      </c>
      <c r="C12" s="6">
        <v>31.0</v>
      </c>
    </row>
    <row r="13">
      <c r="A13" s="4" t="s">
        <v>16</v>
      </c>
      <c r="B13" s="5">
        <f>14619.2</f>
        <v>14619.2</v>
      </c>
      <c r="C13" s="6">
        <v>10.0</v>
      </c>
    </row>
    <row r="14">
      <c r="A14" s="4" t="s">
        <v>17</v>
      </c>
      <c r="B14" s="5">
        <f>8771.48</f>
        <v>8771.48</v>
      </c>
      <c r="C14" s="6">
        <v>6.0</v>
      </c>
    </row>
    <row r="15">
      <c r="A15" s="4" t="s">
        <v>18</v>
      </c>
      <c r="B15" s="5">
        <f>17120.6</f>
        <v>17120.6</v>
      </c>
      <c r="C15" s="6">
        <v>17.0</v>
      </c>
    </row>
    <row r="16">
      <c r="A16" s="4" t="s">
        <v>19</v>
      </c>
      <c r="B16" s="5">
        <f>27776.36</f>
        <v>27776.36</v>
      </c>
      <c r="C16" s="6">
        <v>19.0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90332.61</f>
        <v>90332.61</v>
      </c>
      <c r="C2" s="6">
        <v>127.0</v>
      </c>
    </row>
    <row r="3">
      <c r="A3" s="4" t="s">
        <v>6</v>
      </c>
      <c r="B3" s="5">
        <f>41735.37</f>
        <v>41735.37</v>
      </c>
      <c r="C3" s="6">
        <v>44.0</v>
      </c>
    </row>
    <row r="4">
      <c r="A4" s="4" t="s">
        <v>7</v>
      </c>
      <c r="B4" s="5">
        <f>1569.31</f>
        <v>1569.31</v>
      </c>
      <c r="C4" s="6">
        <v>1.0</v>
      </c>
    </row>
    <row r="5">
      <c r="A5" s="4" t="s">
        <v>8</v>
      </c>
      <c r="B5" s="5">
        <f>13928.45</f>
        <v>13928.45</v>
      </c>
      <c r="C5" s="6">
        <v>33.0</v>
      </c>
    </row>
    <row r="6">
      <c r="A6" s="4" t="s">
        <v>9</v>
      </c>
      <c r="B6" s="5">
        <v>0.0</v>
      </c>
      <c r="C6" s="6">
        <v>0.0</v>
      </c>
    </row>
    <row r="7">
      <c r="A7" s="4" t="s">
        <v>10</v>
      </c>
      <c r="B7" s="5">
        <f>39669.38</f>
        <v>39669.38</v>
      </c>
      <c r="C7" s="6">
        <v>47.0</v>
      </c>
    </row>
    <row r="8">
      <c r="A8" s="4" t="s">
        <v>11</v>
      </c>
      <c r="B8" s="5">
        <f>5360.34</f>
        <v>5360.34</v>
      </c>
      <c r="C8" s="6">
        <v>6.0</v>
      </c>
    </row>
    <row r="9">
      <c r="A9" s="4" t="s">
        <v>12</v>
      </c>
      <c r="B9" s="5">
        <v>0.0</v>
      </c>
      <c r="C9" s="6">
        <v>0.0</v>
      </c>
    </row>
    <row r="10">
      <c r="A10" s="4" t="s">
        <v>13</v>
      </c>
      <c r="B10" s="5">
        <f>40487.84</f>
        <v>40487.84</v>
      </c>
      <c r="C10" s="6">
        <v>31.0</v>
      </c>
    </row>
    <row r="11">
      <c r="A11" s="2" t="s">
        <v>20</v>
      </c>
      <c r="B11" s="7">
        <f>18284.83</f>
        <v>18284.83</v>
      </c>
      <c r="C11" s="8">
        <v>14.0</v>
      </c>
    </row>
    <row r="12">
      <c r="A12" s="4" t="s">
        <v>14</v>
      </c>
      <c r="B12" s="5">
        <v>0.0</v>
      </c>
      <c r="C12" s="6">
        <v>0.0</v>
      </c>
    </row>
    <row r="13">
      <c r="A13" s="4" t="s">
        <v>15</v>
      </c>
      <c r="B13" s="5">
        <f>28263.67</f>
        <v>28263.67</v>
      </c>
      <c r="C13" s="6">
        <v>29.0</v>
      </c>
    </row>
    <row r="14">
      <c r="A14" s="4" t="s">
        <v>16</v>
      </c>
      <c r="B14" s="5">
        <v>0.0</v>
      </c>
      <c r="C14" s="6">
        <v>0.0</v>
      </c>
    </row>
    <row r="15">
      <c r="A15" s="4" t="s">
        <v>17</v>
      </c>
      <c r="B15" s="5">
        <f>14619.14</f>
        <v>14619.14</v>
      </c>
      <c r="C15" s="6">
        <v>10.0</v>
      </c>
    </row>
    <row r="16">
      <c r="A16" s="4" t="s">
        <v>18</v>
      </c>
      <c r="B16" s="5">
        <f>29205.74</f>
        <v>29205.74</v>
      </c>
      <c r="C16" s="6">
        <v>29.0</v>
      </c>
    </row>
    <row r="17">
      <c r="A17" s="4" t="s">
        <v>19</v>
      </c>
      <c r="B17" s="5">
        <f>33624.02</f>
        <v>33624.02</v>
      </c>
      <c r="C17" s="6">
        <v>23.0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38866+1017</f>
        <v>39883</v>
      </c>
      <c r="C2" s="6">
        <f>66+2</f>
        <v>68</v>
      </c>
    </row>
    <row r="3">
      <c r="A3" s="4" t="s">
        <v>6</v>
      </c>
      <c r="B3" s="5">
        <v>45609.0</v>
      </c>
      <c r="C3" s="6">
        <v>66.0</v>
      </c>
    </row>
    <row r="4">
      <c r="A4" s="4" t="s">
        <v>7</v>
      </c>
      <c r="B4" s="5">
        <v>1927.0</v>
      </c>
      <c r="C4" s="6">
        <v>2.0</v>
      </c>
    </row>
    <row r="5">
      <c r="A5" s="4" t="s">
        <v>8</v>
      </c>
      <c r="B5" s="5">
        <f>7098+1105</f>
        <v>8203</v>
      </c>
      <c r="C5" s="6">
        <f>22+4</f>
        <v>26</v>
      </c>
    </row>
    <row r="6">
      <c r="A6" s="4" t="s">
        <v>9</v>
      </c>
      <c r="B6" s="9"/>
      <c r="C6" s="10"/>
    </row>
    <row r="7">
      <c r="A7" s="4" t="s">
        <v>10</v>
      </c>
      <c r="B7" s="5">
        <v>21474.0</v>
      </c>
      <c r="C7" s="6">
        <v>30.0</v>
      </c>
    </row>
    <row r="8">
      <c r="A8" s="4" t="s">
        <v>11</v>
      </c>
      <c r="B8" s="9"/>
      <c r="C8" s="10"/>
    </row>
    <row r="9">
      <c r="A9" s="4" t="s">
        <v>12</v>
      </c>
      <c r="B9" s="9"/>
      <c r="C9" s="10"/>
    </row>
    <row r="10">
      <c r="A10" s="4" t="s">
        <v>13</v>
      </c>
      <c r="B10" s="5">
        <v>22797.0</v>
      </c>
      <c r="C10" s="6">
        <v>23.0</v>
      </c>
    </row>
    <row r="11">
      <c r="A11" s="2" t="s">
        <v>20</v>
      </c>
      <c r="B11" s="7">
        <v>14124.0</v>
      </c>
      <c r="C11" s="8">
        <v>13.0</v>
      </c>
    </row>
    <row r="12">
      <c r="A12" s="4" t="s">
        <v>14</v>
      </c>
      <c r="B12" s="9"/>
      <c r="C12" s="10"/>
    </row>
    <row r="13">
      <c r="A13" s="4" t="s">
        <v>15</v>
      </c>
      <c r="B13" s="5">
        <f>14040</f>
        <v>14040</v>
      </c>
      <c r="C13" s="6">
        <f>17</f>
        <v>17</v>
      </c>
    </row>
    <row r="14">
      <c r="A14" s="4" t="s">
        <v>16</v>
      </c>
      <c r="B14" s="5">
        <v>2340.0</v>
      </c>
      <c r="C14" s="6">
        <f>2</f>
        <v>2</v>
      </c>
    </row>
    <row r="15">
      <c r="A15" s="4" t="s">
        <v>17</v>
      </c>
      <c r="B15" s="5">
        <v>9911.0</v>
      </c>
      <c r="C15" s="6">
        <v>8.0</v>
      </c>
    </row>
    <row r="16">
      <c r="A16" s="4" t="s">
        <v>18</v>
      </c>
      <c r="B16" s="5">
        <v>17922.0</v>
      </c>
      <c r="C16" s="6">
        <v>21.0</v>
      </c>
    </row>
    <row r="17">
      <c r="A17" s="4" t="s">
        <v>19</v>
      </c>
      <c r="B17" s="5">
        <v>0.0</v>
      </c>
      <c r="C17" s="6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45670</f>
        <v>45670</v>
      </c>
      <c r="C2" s="6">
        <f>80</f>
        <v>80</v>
      </c>
    </row>
    <row r="3">
      <c r="A3" s="4" t="s">
        <v>6</v>
      </c>
      <c r="B3" s="5">
        <v>57149.0</v>
      </c>
      <c r="C3" s="6">
        <v>89.0</v>
      </c>
    </row>
    <row r="4">
      <c r="A4" s="4" t="s">
        <v>7</v>
      </c>
      <c r="B4" s="9"/>
      <c r="C4" s="10"/>
    </row>
    <row r="5">
      <c r="A5" s="4" t="s">
        <v>8</v>
      </c>
      <c r="B5" s="5">
        <v>5392.0</v>
      </c>
      <c r="C5" s="6">
        <v>18.0</v>
      </c>
    </row>
    <row r="6">
      <c r="A6" s="4" t="s">
        <v>9</v>
      </c>
      <c r="B6" s="9"/>
      <c r="C6" s="10"/>
    </row>
    <row r="7">
      <c r="A7" s="4" t="s">
        <v>10</v>
      </c>
      <c r="B7" s="5">
        <f>20483</f>
        <v>20483</v>
      </c>
      <c r="C7" s="6">
        <v>30.0</v>
      </c>
    </row>
    <row r="8">
      <c r="A8" s="4" t="s">
        <v>11</v>
      </c>
      <c r="B8" s="9"/>
      <c r="C8" s="10"/>
    </row>
    <row r="9">
      <c r="A9" s="4" t="s">
        <v>12</v>
      </c>
      <c r="B9" s="9"/>
      <c r="C9" s="10"/>
    </row>
    <row r="10">
      <c r="A10" s="4" t="s">
        <v>13</v>
      </c>
      <c r="B10" s="9"/>
      <c r="C10" s="10"/>
    </row>
    <row r="11">
      <c r="A11" s="2" t="s">
        <v>20</v>
      </c>
      <c r="B11" s="7">
        <v>6442.0</v>
      </c>
      <c r="C11" s="8">
        <v>6.0</v>
      </c>
    </row>
    <row r="12">
      <c r="A12" s="4" t="s">
        <v>14</v>
      </c>
      <c r="B12" s="9"/>
      <c r="C12" s="10"/>
    </row>
    <row r="13">
      <c r="A13" s="4" t="s">
        <v>15</v>
      </c>
      <c r="B13" s="5">
        <v>5781.0</v>
      </c>
      <c r="C13" s="6">
        <v>7.0</v>
      </c>
    </row>
    <row r="14">
      <c r="A14" s="4" t="s">
        <v>16</v>
      </c>
      <c r="B14" s="5">
        <v>6332.0</v>
      </c>
      <c r="C14" s="6">
        <v>6.0</v>
      </c>
    </row>
    <row r="15">
      <c r="A15" s="4" t="s">
        <v>17</v>
      </c>
      <c r="B15" s="9"/>
      <c r="C15" s="10"/>
    </row>
    <row r="16">
      <c r="A16" s="4" t="s">
        <v>18</v>
      </c>
      <c r="B16" s="9"/>
      <c r="C16" s="10"/>
    </row>
    <row r="17">
      <c r="A17" s="4" t="s">
        <v>19</v>
      </c>
      <c r="B17" s="9"/>
      <c r="C17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24895+1017</f>
        <v>25912</v>
      </c>
      <c r="C2" s="6">
        <f>45+1</f>
        <v>46</v>
      </c>
    </row>
    <row r="3">
      <c r="A3" s="4" t="s">
        <v>6</v>
      </c>
      <c r="B3" s="5">
        <v>16957.0</v>
      </c>
      <c r="C3" s="6">
        <v>28.0</v>
      </c>
    </row>
    <row r="4">
      <c r="A4" s="4" t="s">
        <v>7</v>
      </c>
      <c r="B4" s="5">
        <f>4818</f>
        <v>4818</v>
      </c>
      <c r="C4" s="6">
        <f>5
</f>
        <v>5</v>
      </c>
    </row>
    <row r="5">
      <c r="A5" s="4" t="s">
        <v>8</v>
      </c>
      <c r="B5" s="5">
        <f>1926+1072</f>
        <v>2998</v>
      </c>
      <c r="C5" s="6">
        <f>7+2</f>
        <v>9</v>
      </c>
    </row>
    <row r="6">
      <c r="A6" s="4" t="s">
        <v>9</v>
      </c>
      <c r="B6" s="9"/>
      <c r="C6" s="10"/>
    </row>
    <row r="7">
      <c r="A7" s="4" t="s">
        <v>10</v>
      </c>
      <c r="B7" s="5">
        <v>4239.0</v>
      </c>
      <c r="C7" s="6">
        <v>7.0</v>
      </c>
    </row>
    <row r="8">
      <c r="A8" s="4" t="s">
        <v>11</v>
      </c>
      <c r="B8" s="9"/>
      <c r="C8" s="10"/>
    </row>
    <row r="9">
      <c r="A9" s="4" t="s">
        <v>12</v>
      </c>
      <c r="B9" s="9"/>
      <c r="C9" s="10"/>
    </row>
    <row r="10">
      <c r="A10" s="4" t="s">
        <v>13</v>
      </c>
      <c r="B10" s="5">
        <v>17841.0</v>
      </c>
      <c r="C10" s="6">
        <v>18.0</v>
      </c>
    </row>
    <row r="11">
      <c r="A11" s="2" t="s">
        <v>20</v>
      </c>
      <c r="B11" s="7">
        <v>1073.0</v>
      </c>
      <c r="C11" s="8">
        <v>1.0</v>
      </c>
    </row>
    <row r="12">
      <c r="A12" s="4" t="s">
        <v>14</v>
      </c>
      <c r="B12" s="9"/>
      <c r="C12" s="10"/>
    </row>
    <row r="13">
      <c r="A13" s="4" t="s">
        <v>15</v>
      </c>
      <c r="B13" s="5">
        <v>1651.0</v>
      </c>
      <c r="C13" s="6">
        <v>2.0</v>
      </c>
    </row>
    <row r="14">
      <c r="A14" s="4" t="s">
        <v>16</v>
      </c>
      <c r="B14" s="5">
        <f>1927+25053</f>
        <v>26980</v>
      </c>
      <c r="C14" s="6">
        <f>2+26</f>
        <v>28</v>
      </c>
    </row>
    <row r="15">
      <c r="A15" s="4" t="s">
        <v>17</v>
      </c>
      <c r="B15" s="5">
        <v>3716.0</v>
      </c>
      <c r="C15" s="6">
        <v>3.0</v>
      </c>
    </row>
    <row r="16">
      <c r="A16" s="4" t="s">
        <v>18</v>
      </c>
      <c r="B16" s="5">
        <v>1706.0</v>
      </c>
      <c r="C16" s="6">
        <v>2.0</v>
      </c>
    </row>
    <row r="17">
      <c r="A17" s="4" t="s">
        <v>19</v>
      </c>
      <c r="B17" s="5">
        <v>3716.0</v>
      </c>
      <c r="C17" s="6">
        <v>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5">
        <f>83777+2035</f>
        <v>85812</v>
      </c>
      <c r="C2" s="6">
        <f>143+2</f>
        <v>145</v>
      </c>
    </row>
    <row r="3">
      <c r="A3" s="4" t="s">
        <v>6</v>
      </c>
      <c r="B3" s="5">
        <v>32924.0</v>
      </c>
      <c r="C3" s="6">
        <v>52.0</v>
      </c>
    </row>
    <row r="4">
      <c r="A4" s="4" t="s">
        <v>7</v>
      </c>
      <c r="B4" s="5">
        <f>14417+3413</f>
        <v>17830</v>
      </c>
      <c r="C4" s="6">
        <f>15+5</f>
        <v>20</v>
      </c>
    </row>
    <row r="5">
      <c r="A5" s="4" t="s">
        <v>8</v>
      </c>
      <c r="B5" s="5">
        <f>18159+536</f>
        <v>18695</v>
      </c>
      <c r="C5" s="6">
        <f>66+1</f>
        <v>67</v>
      </c>
    </row>
    <row r="6">
      <c r="A6" s="4" t="s">
        <v>9</v>
      </c>
      <c r="B6" s="9"/>
      <c r="C6" s="10"/>
    </row>
    <row r="7">
      <c r="A7" s="4" t="s">
        <v>10</v>
      </c>
      <c r="B7" s="5">
        <v>26650.0</v>
      </c>
      <c r="C7" s="6">
        <v>42.0</v>
      </c>
    </row>
    <row r="8">
      <c r="A8" s="4" t="s">
        <v>11</v>
      </c>
      <c r="B8" s="9"/>
      <c r="C8" s="10"/>
    </row>
    <row r="9">
      <c r="A9" s="4" t="s">
        <v>12</v>
      </c>
      <c r="B9" s="9"/>
      <c r="C9" s="10"/>
    </row>
    <row r="10">
      <c r="A10" s="4" t="s">
        <v>13</v>
      </c>
      <c r="B10" s="5">
        <v>101365.0</v>
      </c>
      <c r="C10" s="6">
        <v>100.0</v>
      </c>
    </row>
    <row r="11">
      <c r="A11" s="2" t="s">
        <v>20</v>
      </c>
      <c r="B11" s="5">
        <v>2081.0</v>
      </c>
      <c r="C11" s="6">
        <v>2.0</v>
      </c>
    </row>
    <row r="12">
      <c r="A12" s="4" t="s">
        <v>21</v>
      </c>
      <c r="B12" s="5">
        <v>4086.0</v>
      </c>
      <c r="C12" s="6">
        <v>2.0</v>
      </c>
    </row>
    <row r="13">
      <c r="A13" s="4" t="s">
        <v>15</v>
      </c>
      <c r="B13" s="5">
        <v>1651.0</v>
      </c>
      <c r="C13" s="6">
        <v>2.0</v>
      </c>
    </row>
    <row r="14">
      <c r="A14" s="4" t="s">
        <v>16</v>
      </c>
      <c r="B14" s="5">
        <f>14564+42398</f>
        <v>56962</v>
      </c>
      <c r="C14" s="6">
        <f>15+44</f>
        <v>59</v>
      </c>
    </row>
    <row r="15">
      <c r="A15" s="4" t="s">
        <v>17</v>
      </c>
      <c r="B15" s="5">
        <v>11150.0</v>
      </c>
      <c r="C15" s="6">
        <v>9.0</v>
      </c>
    </row>
    <row r="16">
      <c r="A16" s="4" t="s">
        <v>18</v>
      </c>
      <c r="B16" s="5">
        <v>17922.0</v>
      </c>
      <c r="C16" s="6">
        <v>21.0</v>
      </c>
    </row>
    <row r="17">
      <c r="A17" s="4" t="s">
        <v>19</v>
      </c>
      <c r="B17" s="5">
        <v>17344.0</v>
      </c>
      <c r="C17" s="6">
        <v>14.0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11">
        <v>67763.28</v>
      </c>
      <c r="C2" s="12">
        <v>121.0</v>
      </c>
    </row>
    <row r="3">
      <c r="A3" s="4" t="s">
        <v>6</v>
      </c>
      <c r="B3" s="11">
        <v>38518.16</v>
      </c>
      <c r="C3" s="12">
        <v>64.0</v>
      </c>
    </row>
    <row r="4">
      <c r="A4" s="4" t="s">
        <v>7</v>
      </c>
      <c r="B4" s="11">
        <v>18580.26</v>
      </c>
      <c r="C4" s="12">
        <v>21.0</v>
      </c>
    </row>
    <row r="5">
      <c r="A5" s="4" t="s">
        <v>8</v>
      </c>
      <c r="B5" s="11">
        <v>8804.8</v>
      </c>
      <c r="C5" s="12">
        <v>32.0</v>
      </c>
    </row>
    <row r="6">
      <c r="A6" s="4" t="s">
        <v>22</v>
      </c>
      <c r="B6" s="11">
        <v>770.8</v>
      </c>
      <c r="C6" s="12">
        <v>1.0</v>
      </c>
    </row>
    <row r="7">
      <c r="A7" s="4" t="s">
        <v>10</v>
      </c>
      <c r="B7" s="11">
        <v>26127.33</v>
      </c>
      <c r="C7" s="12">
        <v>45.0</v>
      </c>
    </row>
    <row r="8">
      <c r="A8" s="4" t="s">
        <v>13</v>
      </c>
      <c r="B8" s="11">
        <v>112509.71</v>
      </c>
      <c r="C8" s="12">
        <v>112.0</v>
      </c>
    </row>
    <row r="9">
      <c r="A9" s="2" t="s">
        <v>20</v>
      </c>
      <c r="B9" s="11">
        <v>3107.49</v>
      </c>
      <c r="C9" s="12">
        <v>3.0</v>
      </c>
    </row>
    <row r="10">
      <c r="A10" s="4" t="s">
        <v>21</v>
      </c>
      <c r="B10" s="11">
        <v>14226.34</v>
      </c>
      <c r="C10" s="12">
        <v>7.0</v>
      </c>
    </row>
    <row r="11">
      <c r="A11" s="4" t="s">
        <v>23</v>
      </c>
      <c r="B11" s="11">
        <v>7599.2</v>
      </c>
      <c r="C11" s="12">
        <v>10.0</v>
      </c>
    </row>
    <row r="12">
      <c r="A12" s="4" t="s">
        <v>16</v>
      </c>
      <c r="B12" s="11">
        <f>14245+4166.92
</f>
        <v>18411.92</v>
      </c>
      <c r="C12" s="12">
        <f>14+4</f>
        <v>18</v>
      </c>
    </row>
    <row r="13">
      <c r="A13" s="4" t="s">
        <v>17</v>
      </c>
      <c r="B13" s="11">
        <v>2230.04</v>
      </c>
      <c r="C13" s="12">
        <v>2.0</v>
      </c>
    </row>
    <row r="14">
      <c r="A14" s="4" t="s">
        <v>18</v>
      </c>
      <c r="B14" s="11">
        <v>7695.0</v>
      </c>
      <c r="C14" s="12">
        <v>9.0</v>
      </c>
    </row>
    <row r="15">
      <c r="A15" s="4" t="s">
        <v>24</v>
      </c>
      <c r="B15" s="11">
        <v>12213.76</v>
      </c>
      <c r="C15" s="12">
        <v>8.0</v>
      </c>
    </row>
    <row r="16">
      <c r="A16" s="4" t="s">
        <v>25</v>
      </c>
      <c r="B16" s="11">
        <v>1017.78</v>
      </c>
      <c r="C16" s="12">
        <v>1.0</v>
      </c>
    </row>
    <row r="17">
      <c r="A17" s="4" t="s">
        <v>26</v>
      </c>
      <c r="B17" s="11">
        <v>9910.26</v>
      </c>
      <c r="C17" s="12">
        <v>18.0</v>
      </c>
    </row>
    <row r="18">
      <c r="A18" s="4" t="s">
        <v>27</v>
      </c>
      <c r="B18" s="13">
        <v>3303.42</v>
      </c>
      <c r="C18" s="12">
        <v>6.0</v>
      </c>
    </row>
  </sheetData>
  <drawing r:id="rId1"/>
</worksheet>
</file>