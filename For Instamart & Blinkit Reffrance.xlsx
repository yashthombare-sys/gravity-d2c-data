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ril 25" sheetId="1" r:id="rId4"/>
    <sheet state="visible" name="May 25" sheetId="2" r:id="rId5"/>
    <sheet state="visible" name="June 25" sheetId="3" r:id="rId6"/>
    <sheet state="visible" name="July 25" sheetId="4" r:id="rId7"/>
    <sheet state="visible" name="Aug 25" sheetId="5" r:id="rId8"/>
    <sheet state="visible" name="Sep 25" sheetId="6" r:id="rId9"/>
    <sheet state="visible" name="Oct 25" sheetId="7" r:id="rId10"/>
    <sheet state="visible" name="Nov 25" sheetId="8" r:id="rId11"/>
    <sheet state="visible" name="Dec 25" sheetId="9" r:id="rId12"/>
    <sheet state="visible" name="Jan26" sheetId="10" r:id="rId13"/>
  </sheets>
  <definedNames/>
  <calcPr/>
  <extLst>
    <ext uri="GoogleSheetsCustomDataVersion2">
      <go:sheetsCustomData xmlns:go="http://customooxmlschemas.google.com/" r:id="rId14" roundtripDataChecksum="1x3GyV28OhUst8ma0cMoNX4/NHN/sJWaO0AaSocwXH4="/>
    </ext>
  </extLst>
</workbook>
</file>

<file path=xl/sharedStrings.xml><?xml version="1.0" encoding="utf-8"?>
<sst xmlns="http://schemas.openxmlformats.org/spreadsheetml/2006/main" count="3405" uniqueCount="201">
  <si>
    <t>April</t>
  </si>
  <si>
    <t>Shopify</t>
  </si>
  <si>
    <t>Products</t>
  </si>
  <si>
    <t>Total revenue</t>
  </si>
  <si>
    <t>Total expense</t>
  </si>
  <si>
    <t>Total P/L</t>
  </si>
  <si>
    <t>Profit %</t>
  </si>
  <si>
    <t>P/pcs</t>
  </si>
  <si>
    <t>Ad spent</t>
  </si>
  <si>
    <t>Total orders</t>
  </si>
  <si>
    <t>Shipped</t>
  </si>
  <si>
    <t>Product expense</t>
  </si>
  <si>
    <t>Delivered</t>
  </si>
  <si>
    <t>Shipping charges</t>
  </si>
  <si>
    <t>RTO</t>
  </si>
  <si>
    <t>In-transit</t>
  </si>
  <si>
    <t>RTO%</t>
  </si>
  <si>
    <t>Shipped%</t>
  </si>
  <si>
    <t>Delivered %</t>
  </si>
  <si>
    <t>CPD</t>
  </si>
  <si>
    <t>Cancellation %</t>
  </si>
  <si>
    <t>V1</t>
  </si>
  <si>
    <t>V1- P of 2</t>
  </si>
  <si>
    <t>V2</t>
  </si>
  <si>
    <t>V2- P of 2</t>
  </si>
  <si>
    <t>V3</t>
  </si>
  <si>
    <t>V4</t>
  </si>
  <si>
    <t>V4- P of 2</t>
  </si>
  <si>
    <t>V5</t>
  </si>
  <si>
    <t>V6</t>
  </si>
  <si>
    <t>V6- P of 2</t>
  </si>
  <si>
    <t>V7</t>
  </si>
  <si>
    <t>V8</t>
  </si>
  <si>
    <t>V9</t>
  </si>
  <si>
    <t>V9 P of 2</t>
  </si>
  <si>
    <t>V6-V2 Combo</t>
  </si>
  <si>
    <t>V6-V4 Combo</t>
  </si>
  <si>
    <t>Busy Book</t>
  </si>
  <si>
    <t>Total</t>
  </si>
  <si>
    <t>Blended</t>
  </si>
  <si>
    <t xml:space="preserve">Total Revenue </t>
  </si>
  <si>
    <t>COGS</t>
  </si>
  <si>
    <t>CAC</t>
  </si>
  <si>
    <t>Logistics</t>
  </si>
  <si>
    <t>Marketing</t>
  </si>
  <si>
    <t>AOV</t>
  </si>
  <si>
    <t>P&amp;L</t>
  </si>
  <si>
    <t>P&amp;L %</t>
  </si>
  <si>
    <t>Amazon</t>
  </si>
  <si>
    <t xml:space="preserve"> </t>
  </si>
  <si>
    <t>Return</t>
  </si>
  <si>
    <t>Amazon expense</t>
  </si>
  <si>
    <t>Only Ad spend</t>
  </si>
  <si>
    <t>Return GMV</t>
  </si>
  <si>
    <t>BB</t>
  </si>
  <si>
    <t>V1V4</t>
  </si>
  <si>
    <t>V1V2</t>
  </si>
  <si>
    <t>V1V6</t>
  </si>
  <si>
    <t>V2V4</t>
  </si>
  <si>
    <t>V2V6</t>
  </si>
  <si>
    <t>Amazon Cumi</t>
  </si>
  <si>
    <t>Logi</t>
  </si>
  <si>
    <t>Net P&amp;L</t>
  </si>
  <si>
    <t>Commisions</t>
  </si>
  <si>
    <t>Flipkart</t>
  </si>
  <si>
    <t>Flipkart expenses</t>
  </si>
  <si>
    <t>Wooden cal</t>
  </si>
  <si>
    <t>V4V2</t>
  </si>
  <si>
    <t>V6V2</t>
  </si>
  <si>
    <t>Flipkart Ex</t>
  </si>
  <si>
    <t>Blinkit</t>
  </si>
  <si>
    <t>Product exp</t>
  </si>
  <si>
    <t>Blinkit exp</t>
  </si>
  <si>
    <t>Ads</t>
  </si>
  <si>
    <t>Logitics</t>
  </si>
  <si>
    <t>Ad Spent</t>
  </si>
  <si>
    <t>Instamart</t>
  </si>
  <si>
    <t>Exp</t>
  </si>
  <si>
    <t>FirstCry</t>
  </si>
  <si>
    <t xml:space="preserve">Net Revenue </t>
  </si>
  <si>
    <t>Gross Margin</t>
  </si>
  <si>
    <t>GM%</t>
  </si>
  <si>
    <t>Logistics+ Commissions</t>
  </si>
  <si>
    <t>AD Spend</t>
  </si>
  <si>
    <t>CM2</t>
  </si>
  <si>
    <t>CM2 %</t>
  </si>
  <si>
    <t>Fixed Expance</t>
  </si>
  <si>
    <t>Total Ex</t>
  </si>
  <si>
    <t>EBTDA</t>
  </si>
  <si>
    <t>%</t>
  </si>
  <si>
    <t>FY 2025-2026</t>
  </si>
  <si>
    <t xml:space="preserve">Net Orders Fulfilled </t>
  </si>
  <si>
    <t>Website</t>
  </si>
  <si>
    <t>Combos</t>
  </si>
  <si>
    <t>Wooden Cal</t>
  </si>
  <si>
    <t>Firstcry</t>
  </si>
  <si>
    <t>Cred</t>
  </si>
  <si>
    <t>Net Revenue (Inc Tax)</t>
  </si>
  <si>
    <t>Net Revenue (Ex Tax)</t>
  </si>
  <si>
    <t>Gross Margin %</t>
  </si>
  <si>
    <t>Logistic Costs</t>
  </si>
  <si>
    <t>Marketplace Commissions</t>
  </si>
  <si>
    <t>Contribution Margin (CM) 1</t>
  </si>
  <si>
    <t>CM 1 %</t>
  </si>
  <si>
    <t>Overall AD Spent</t>
  </si>
  <si>
    <t>Contribution Margin (CM) 2</t>
  </si>
  <si>
    <t>CM 2 %</t>
  </si>
  <si>
    <t>Manpower Factory</t>
  </si>
  <si>
    <t xml:space="preserve">Corporate </t>
  </si>
  <si>
    <t>Rental Factory</t>
  </si>
  <si>
    <t>Rental Corporate</t>
  </si>
  <si>
    <t>Others</t>
  </si>
  <si>
    <t>EBITDA</t>
  </si>
  <si>
    <t xml:space="preserve">EBITDA % </t>
  </si>
  <si>
    <t>May</t>
  </si>
  <si>
    <t>Unit Economics</t>
  </si>
  <si>
    <t>Total Units Sold</t>
  </si>
  <si>
    <t>Logitics &amp; Packing</t>
  </si>
  <si>
    <t>Profit</t>
  </si>
  <si>
    <t>NBB</t>
  </si>
  <si>
    <t>Amazon cumi</t>
  </si>
  <si>
    <t>Fixed Expances</t>
  </si>
  <si>
    <t>Platform</t>
  </si>
  <si>
    <t>Net Revenue</t>
  </si>
  <si>
    <t>Split</t>
  </si>
  <si>
    <t xml:space="preserve">D2C </t>
  </si>
  <si>
    <t>100 %</t>
  </si>
  <si>
    <t>June</t>
  </si>
  <si>
    <t>Total Dilivered Revenue</t>
  </si>
  <si>
    <t>Total COGS</t>
  </si>
  <si>
    <t>COGS/Unit</t>
  </si>
  <si>
    <t>V10</t>
  </si>
  <si>
    <t>Busy Book Pink</t>
  </si>
  <si>
    <t>Human Book</t>
  </si>
  <si>
    <t>V9-V3 Combo</t>
  </si>
  <si>
    <t>V9-V10 Combo</t>
  </si>
  <si>
    <t>V7-V4 Combo</t>
  </si>
  <si>
    <t>V1-V4 Combo</t>
  </si>
  <si>
    <t>V1-V7 Combo</t>
  </si>
  <si>
    <t>V6-V7 Combo</t>
  </si>
  <si>
    <t>V2-V7 Combo</t>
  </si>
  <si>
    <t>V1-V2 Combo</t>
  </si>
  <si>
    <t>V2-V4 Combo</t>
  </si>
  <si>
    <t>Amazon Ex</t>
  </si>
  <si>
    <t>July</t>
  </si>
  <si>
    <t>Total Cost</t>
  </si>
  <si>
    <t>Busy Book Blue</t>
  </si>
  <si>
    <t>/pc</t>
  </si>
  <si>
    <t>-</t>
  </si>
  <si>
    <t>BB's</t>
  </si>
  <si>
    <t>125/pcs</t>
  </si>
  <si>
    <t>375/pcs</t>
  </si>
  <si>
    <t>Units Sold</t>
  </si>
  <si>
    <t>August</t>
  </si>
  <si>
    <t>V4- P of 3</t>
  </si>
  <si>
    <t>Total freight charges</t>
  </si>
  <si>
    <t>Aug</t>
  </si>
  <si>
    <t>HBB</t>
  </si>
  <si>
    <t>V1Cal</t>
  </si>
  <si>
    <t>Unit Sold</t>
  </si>
  <si>
    <t>Sept</t>
  </si>
  <si>
    <t>V9V10</t>
  </si>
  <si>
    <t>CRED</t>
  </si>
  <si>
    <t>v2</t>
  </si>
  <si>
    <t>v3</t>
  </si>
  <si>
    <t>v7</t>
  </si>
  <si>
    <t>v9</t>
  </si>
  <si>
    <t xml:space="preserve">Sept </t>
  </si>
  <si>
    <t>OCT</t>
  </si>
  <si>
    <t xml:space="preserve">V5 </t>
  </si>
  <si>
    <t xml:space="preserve">V6 </t>
  </si>
  <si>
    <t>Oct</t>
  </si>
  <si>
    <t>Units</t>
  </si>
  <si>
    <t>Adspend</t>
  </si>
  <si>
    <t>Roas</t>
  </si>
  <si>
    <t>v6</t>
  </si>
  <si>
    <t>Nov</t>
  </si>
  <si>
    <t>Total Delivered Revenue</t>
  </si>
  <si>
    <t>NOV</t>
  </si>
  <si>
    <t>V1v6</t>
  </si>
  <si>
    <t xml:space="preserve">Nov </t>
  </si>
  <si>
    <t xml:space="preserve">   </t>
  </si>
  <si>
    <t>Total April-Nov</t>
  </si>
  <si>
    <t xml:space="preserve">December </t>
  </si>
  <si>
    <t>V9-V2 Combo</t>
  </si>
  <si>
    <t>Dec</t>
  </si>
  <si>
    <t xml:space="preserve">Jan 26' </t>
  </si>
  <si>
    <t>V6-V1 Combo</t>
  </si>
  <si>
    <t>Ganesha</t>
  </si>
  <si>
    <t>Krishna</t>
  </si>
  <si>
    <t>Car</t>
  </si>
  <si>
    <t>Tank</t>
  </si>
  <si>
    <t>JAN</t>
  </si>
  <si>
    <t>CS Basics 1</t>
  </si>
  <si>
    <t>BB Blue</t>
  </si>
  <si>
    <t>BB Pink</t>
  </si>
  <si>
    <t>V4_Pack of 2</t>
  </si>
  <si>
    <t>V4 Pack of 3</t>
  </si>
  <si>
    <t>V4V6</t>
  </si>
  <si>
    <t>V2V9</t>
  </si>
  <si>
    <t>V1 Pack of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</si>
</sst>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0.0"/>
    <numFmt numFmtId="165" formatCode="[$₹]#,##0"/>
    <numFmt numFmtId="166" formatCode="mmmm d"/>
    <numFmt numFmtId="167" formatCode="mmmm yyyy"/>
    <numFmt numFmtId="168" formatCode="0.0%"/>
    <numFmt numFmtId="169" formatCode="#,##0.000"/>
    <numFmt numFmtId="170" formatCode="0.000"/>
    <numFmt numFmtId="171" formatCode="0.00000"/>
    <numFmt numFmtId="172" formatCode="[$₹]#,##0.000"/>
    <numFmt numFmtId="173" formatCode="[$₹]#,##0.00"/>
  </numFmts>
  <fonts count="25">
    <font>
      <sz val="10.0"/>
      <color rgb="FF000000"/>
      <name val="Arial"/>
      <scheme val="minor"/>
    </font>
    <font>
      <b/>
      <sz val="12.0"/>
      <color theme="1"/>
      <name val="Arial"/>
    </font>
    <font>
      <b/>
      <sz val="13.0"/>
      <color theme="1"/>
      <name val="Arial"/>
    </font>
    <font>
      <color theme="1"/>
      <name val="Arial"/>
    </font>
    <font>
      <sz val="11.0"/>
      <color theme="1"/>
      <name val="Arial"/>
    </font>
    <font>
      <b/>
      <sz val="11.0"/>
      <color theme="1"/>
      <name val="Arial"/>
    </font>
    <font>
      <b/>
      <color theme="1"/>
      <name val="Arial"/>
    </font>
    <font>
      <b/>
      <sz val="15.0"/>
      <color theme="1"/>
      <name val="Arial"/>
    </font>
    <font>
      <b/>
      <sz val="14.0"/>
      <color theme="1"/>
      <name val="Arial"/>
    </font>
    <font>
      <b/>
      <color theme="1"/>
      <name val="Calibri"/>
    </font>
    <font>
      <b/>
      <sz val="12.0"/>
      <color rgb="FFFFFFFF"/>
      <name val="Arial"/>
    </font>
    <font>
      <b/>
      <sz val="11.0"/>
      <color rgb="FFFFFFFF"/>
      <name val="Arial"/>
    </font>
    <font>
      <b/>
      <sz val="13.0"/>
      <color rgb="FFFFFFFF"/>
      <name val="Arial"/>
    </font>
    <font>
      <color rgb="FFFFFFFF"/>
      <name val="Arial"/>
    </font>
    <font>
      <sz val="11.0"/>
      <color theme="1"/>
      <name val="Calibri"/>
    </font>
    <font>
      <sz val="15.0"/>
      <color theme="1"/>
      <name val="Arial"/>
    </font>
    <font>
      <b/>
      <sz val="11.0"/>
      <color rgb="FF232F3E"/>
      <name val="Arial"/>
    </font>
    <font>
      <sz val="10.0"/>
      <color theme="1"/>
      <name val="Arial"/>
    </font>
    <font>
      <sz val="11.0"/>
      <color rgb="FF000000"/>
      <name val="Calibri"/>
    </font>
    <font>
      <sz val="14.0"/>
      <color theme="1"/>
      <name val="Arial"/>
    </font>
    <font>
      <sz val="12.0"/>
      <color rgb="FF1F1F1F"/>
      <name val="Calibri"/>
    </font>
    <font>
      <b/>
      <sz val="11.0"/>
      <color rgb="FF232F3E"/>
      <name val="&quot;Amazon Ember&quot;"/>
    </font>
    <font>
      <sz val="11.0"/>
      <color rgb="FF232F3E"/>
      <name val="&quot;Amazon Ember&quot;"/>
    </font>
    <font>
      <sz val="11.0"/>
      <color rgb="FF232F3E"/>
      <name val="Arial"/>
    </font>
    <font>
      <sz val="11.0"/>
      <color rgb="FF555555"/>
      <name val="&quot;Amazon Ember&quot;"/>
    </font>
  </fonts>
  <fills count="32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34A853"/>
        <bgColor rgb="FF34A853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E69138"/>
        <bgColor rgb="FFE69138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A4C2F4"/>
        <bgColor rgb="FFA4C2F4"/>
      </patternFill>
    </fill>
    <fill>
      <patternFill patternType="solid">
        <fgColor rgb="FFB4A7D6"/>
        <bgColor rgb="FFB4A7D6"/>
      </patternFill>
    </fill>
    <fill>
      <patternFill patternType="solid">
        <fgColor rgb="FFF4CCCC"/>
        <bgColor rgb="FFF4CCCC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0000"/>
        <bgColor rgb="FFFF0000"/>
      </patternFill>
    </fill>
    <fill>
      <patternFill patternType="solid">
        <fgColor rgb="FFF7F8F8"/>
        <bgColor rgb="FFF7F8F8"/>
      </patternFill>
    </fill>
    <fill>
      <patternFill patternType="solid">
        <fgColor rgb="FF000000"/>
        <bgColor rgb="FF000000"/>
      </patternFill>
    </fill>
    <fill>
      <patternFill patternType="solid">
        <fgColor rgb="FF4A86E8"/>
        <bgColor rgb="FF4A86E8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3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vertical="bottom"/>
    </xf>
    <xf borderId="4" fillId="0" fontId="4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" xfId="0" applyAlignment="1" applyBorder="1" applyFont="1" applyNumberFormat="1">
      <alignment vertical="bottom"/>
    </xf>
    <xf borderId="5" fillId="3" fontId="3" numFmtId="0" xfId="0" applyAlignment="1" applyBorder="1" applyFill="1" applyFont="1">
      <alignment horizontal="right" vertical="bottom"/>
    </xf>
    <xf borderId="5" fillId="4" fontId="4" numFmtId="0" xfId="0" applyAlignment="1" applyBorder="1" applyFill="1" applyFont="1">
      <alignment horizontal="right" vertical="bottom"/>
    </xf>
    <xf borderId="5" fillId="5" fontId="4" numFmtId="0" xfId="0" applyAlignment="1" applyBorder="1" applyFill="1" applyFont="1">
      <alignment horizontal="right" vertical="bottom"/>
    </xf>
    <xf borderId="5" fillId="6" fontId="4" numFmtId="4" xfId="0" applyAlignment="1" applyBorder="1" applyFill="1" applyFont="1" applyNumberFormat="1">
      <alignment horizontal="right" vertical="bottom"/>
    </xf>
    <xf borderId="5" fillId="0" fontId="4" numFmtId="4" xfId="0" applyAlignment="1" applyBorder="1" applyFont="1" applyNumberFormat="1">
      <alignment horizontal="right" vertical="bottom"/>
    </xf>
    <xf borderId="5" fillId="3" fontId="3" numFmtId="0" xfId="0" applyAlignment="1" applyBorder="1" applyFont="1">
      <alignment vertical="bottom"/>
    </xf>
    <xf borderId="5" fillId="7" fontId="4" numFmtId="0" xfId="0" applyAlignment="1" applyBorder="1" applyFill="1" applyFont="1">
      <alignment horizontal="right" vertical="bottom"/>
    </xf>
    <xf borderId="5" fillId="8" fontId="4" numFmtId="0" xfId="0" applyAlignment="1" applyBorder="1" applyFill="1" applyFont="1">
      <alignment horizontal="right" vertical="bottom"/>
    </xf>
    <xf borderId="5" fillId="9" fontId="3" numFmtId="0" xfId="0" applyAlignment="1" applyBorder="1" applyFill="1" applyFont="1">
      <alignment horizontal="right" vertical="bottom"/>
    </xf>
    <xf borderId="5" fillId="10" fontId="4" numFmtId="4" xfId="0" applyAlignment="1" applyBorder="1" applyFill="1" applyFont="1" applyNumberFormat="1">
      <alignment horizontal="right" vertical="bottom"/>
    </xf>
    <xf borderId="5" fillId="11" fontId="4" numFmtId="4" xfId="0" applyAlignment="1" applyBorder="1" applyFill="1" applyFont="1" applyNumberFormat="1">
      <alignment horizontal="right" vertical="bottom"/>
    </xf>
    <xf borderId="5" fillId="12" fontId="4" numFmtId="4" xfId="0" applyAlignment="1" applyBorder="1" applyFill="1" applyFont="1" applyNumberFormat="1">
      <alignment horizontal="right" vertical="bottom"/>
    </xf>
    <xf borderId="0" fillId="0" fontId="3" numFmtId="2" xfId="0" applyFont="1" applyNumberFormat="1"/>
    <xf borderId="5" fillId="4" fontId="4" numFmtId="1" xfId="0" applyAlignment="1" applyBorder="1" applyFont="1" applyNumberFormat="1">
      <alignment horizontal="right" vertical="bottom"/>
    </xf>
    <xf borderId="5" fillId="5" fontId="4" numFmtId="1" xfId="0" applyAlignment="1" applyBorder="1" applyFont="1" applyNumberFormat="1">
      <alignment horizontal="right" vertical="bottom"/>
    </xf>
    <xf borderId="5" fillId="3" fontId="3" numFmtId="1" xfId="0" applyAlignment="1" applyBorder="1" applyFont="1" applyNumberFormat="1">
      <alignment vertical="bottom"/>
    </xf>
    <xf borderId="1" fillId="0" fontId="5" numFmtId="0" xfId="0" applyAlignment="1" applyBorder="1" applyFont="1">
      <alignment vertical="bottom"/>
    </xf>
    <xf borderId="1" fillId="0" fontId="5" numFmtId="0" xfId="0" applyAlignment="1" applyBorder="1" applyFont="1">
      <alignment horizontal="right" vertical="bottom"/>
    </xf>
    <xf borderId="5" fillId="13" fontId="3" numFmtId="4" xfId="0" applyAlignment="1" applyBorder="1" applyFill="1" applyFont="1" applyNumberFormat="1">
      <alignment vertical="bottom"/>
    </xf>
    <xf borderId="1" fillId="0" fontId="3" numFmtId="3" xfId="0" applyAlignment="1" applyBorder="1" applyFont="1" applyNumberFormat="1">
      <alignment vertical="bottom"/>
    </xf>
    <xf borderId="1" fillId="0" fontId="3" numFmtId="0" xfId="0" applyAlignment="1" applyBorder="1" applyFont="1">
      <alignment vertical="bottom"/>
    </xf>
    <xf borderId="1" fillId="0" fontId="5" numFmtId="4" xfId="0" applyAlignment="1" applyBorder="1" applyFont="1" applyNumberFormat="1">
      <alignment horizontal="right" vertical="bottom"/>
    </xf>
    <xf borderId="0" fillId="0" fontId="1" numFmtId="0" xfId="0" applyAlignment="1" applyFont="1">
      <alignment vertical="bottom"/>
    </xf>
    <xf borderId="1" fillId="14" fontId="1" numFmtId="0" xfId="0" applyAlignment="1" applyBorder="1" applyFill="1" applyFont="1">
      <alignment vertical="bottom"/>
    </xf>
    <xf borderId="1" fillId="15" fontId="1" numFmtId="0" xfId="0" applyAlignment="1" applyBorder="1" applyFill="1" applyFont="1">
      <alignment horizontal="right" vertical="bottom"/>
    </xf>
    <xf borderId="1" fillId="15" fontId="6" numFmtId="0" xfId="0" applyAlignment="1" applyBorder="1" applyFont="1">
      <alignment vertical="bottom"/>
    </xf>
    <xf borderId="1" fillId="16" fontId="6" numFmtId="1" xfId="0" applyAlignment="1" applyBorder="1" applyFill="1" applyFont="1" applyNumberFormat="1">
      <alignment horizontal="right" vertical="bottom"/>
    </xf>
    <xf borderId="0" fillId="0" fontId="3" numFmtId="9" xfId="0" applyAlignment="1" applyFont="1" applyNumberFormat="1">
      <alignment vertical="bottom"/>
    </xf>
    <xf borderId="1" fillId="15" fontId="1" numFmtId="1" xfId="0" applyAlignment="1" applyBorder="1" applyFont="1" applyNumberFormat="1">
      <alignment horizontal="right" vertical="bottom"/>
    </xf>
    <xf borderId="0" fillId="0" fontId="3" numFmtId="1" xfId="0" applyAlignment="1" applyFont="1" applyNumberFormat="1">
      <alignment vertical="bottom"/>
    </xf>
    <xf borderId="1" fillId="0" fontId="4" numFmtId="0" xfId="0" applyAlignment="1" applyBorder="1" applyFont="1">
      <alignment vertical="bottom"/>
    </xf>
    <xf borderId="1" fillId="0" fontId="5" numFmtId="4" xfId="0" applyAlignment="1" applyBorder="1" applyFont="1" applyNumberFormat="1">
      <alignment vertical="bottom"/>
    </xf>
    <xf borderId="0" fillId="15" fontId="6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4" fillId="0" fontId="5" numFmtId="0" xfId="0" applyAlignment="1" applyBorder="1" applyFont="1">
      <alignment vertical="bottom"/>
    </xf>
    <xf borderId="5" fillId="5" fontId="5" numFmtId="0" xfId="0" applyAlignment="1" applyBorder="1" applyFont="1">
      <alignment horizontal="right" vertical="bottom"/>
    </xf>
    <xf borderId="5" fillId="10" fontId="5" numFmtId="0" xfId="0" applyAlignment="1" applyBorder="1" applyFont="1">
      <alignment horizontal="right" vertical="bottom"/>
    </xf>
    <xf borderId="5" fillId="12" fontId="5" numFmtId="2" xfId="0" applyAlignment="1" applyBorder="1" applyFont="1" applyNumberFormat="1">
      <alignment horizontal="right" vertical="bottom"/>
    </xf>
    <xf borderId="5" fillId="17" fontId="4" numFmtId="4" xfId="0" applyAlignment="1" applyBorder="1" applyFill="1" applyFont="1" applyNumberFormat="1">
      <alignment horizontal="right" vertical="bottom"/>
    </xf>
    <xf borderId="5" fillId="18" fontId="4" numFmtId="0" xfId="0" applyAlignment="1" applyBorder="1" applyFill="1" applyFont="1">
      <alignment horizontal="right" vertical="bottom"/>
    </xf>
    <xf borderId="5" fillId="19" fontId="4" numFmtId="0" xfId="0" applyAlignment="1" applyBorder="1" applyFill="1" applyFont="1">
      <alignment horizontal="right" vertical="bottom"/>
    </xf>
    <xf borderId="5" fillId="20" fontId="4" numFmtId="0" xfId="0" applyAlignment="1" applyBorder="1" applyFill="1" applyFont="1">
      <alignment horizontal="right" vertical="bottom"/>
    </xf>
    <xf borderId="1" fillId="10" fontId="4" numFmtId="4" xfId="0" applyAlignment="1" applyBorder="1" applyFont="1" applyNumberFormat="1">
      <alignment horizontal="right" vertical="bottom"/>
    </xf>
    <xf borderId="1" fillId="0" fontId="4" numFmtId="0" xfId="0" applyAlignment="1" applyBorder="1" applyFont="1">
      <alignment horizontal="right" vertical="bottom"/>
    </xf>
    <xf borderId="0" fillId="15" fontId="3" numFmtId="0" xfId="0" applyAlignment="1" applyFont="1">
      <alignment horizontal="right" vertical="bottom"/>
    </xf>
    <xf borderId="0" fillId="0" fontId="3" numFmtId="2" xfId="0" applyAlignment="1" applyFont="1" applyNumberFormat="1">
      <alignment horizontal="right" vertical="bottom"/>
    </xf>
    <xf borderId="0" fillId="0" fontId="3" numFmtId="2" xfId="0" applyAlignment="1" applyFont="1" applyNumberFormat="1">
      <alignment vertical="bottom"/>
    </xf>
    <xf borderId="1" fillId="0" fontId="4" numFmtId="4" xfId="0" applyAlignment="1" applyBorder="1" applyFont="1" applyNumberFormat="1">
      <alignment horizontal="right" vertical="bottom"/>
    </xf>
    <xf borderId="0" fillId="15" fontId="3" numFmtId="0" xfId="0" applyAlignment="1" applyFont="1">
      <alignment vertical="bottom"/>
    </xf>
    <xf borderId="0" fillId="0" fontId="3" numFmtId="1" xfId="0" applyAlignment="1" applyFont="1" applyNumberFormat="1">
      <alignment horizontal="right" vertical="bottom"/>
    </xf>
    <xf borderId="0" fillId="0" fontId="3" numFmtId="1" xfId="0" applyFont="1" applyNumberFormat="1"/>
    <xf borderId="0" fillId="0" fontId="3" numFmtId="9" xfId="0" applyAlignment="1" applyFont="1" applyNumberFormat="1">
      <alignment horizontal="right" vertical="bottom"/>
    </xf>
    <xf borderId="0" fillId="0" fontId="3" numFmtId="0" xfId="0" applyFont="1"/>
    <xf borderId="0" fillId="0" fontId="3" numFmtId="10" xfId="0" applyAlignment="1" applyFont="1" applyNumberFormat="1">
      <alignment horizontal="right" vertical="bottom"/>
    </xf>
    <xf borderId="1" fillId="15" fontId="1" numFmtId="164" xfId="0" applyAlignment="1" applyBorder="1" applyFont="1" applyNumberFormat="1">
      <alignment horizontal="right" vertical="bottom"/>
    </xf>
    <xf borderId="5" fillId="10" fontId="5" numFmtId="164" xfId="0" applyAlignment="1" applyBorder="1" applyFont="1" applyNumberFormat="1">
      <alignment horizontal="right" vertical="bottom"/>
    </xf>
    <xf borderId="1" fillId="20" fontId="4" numFmtId="164" xfId="0" applyAlignment="1" applyBorder="1" applyFont="1" applyNumberFormat="1">
      <alignment horizontal="right" vertical="bottom"/>
    </xf>
    <xf borderId="1" fillId="0" fontId="3" numFmtId="0" xfId="0" applyAlignment="1" applyBorder="1" applyFont="1">
      <alignment horizontal="right" vertical="bottom"/>
    </xf>
    <xf borderId="1" fillId="20" fontId="4" numFmtId="0" xfId="0" applyAlignment="1" applyBorder="1" applyFont="1">
      <alignment horizontal="right" vertical="bottom"/>
    </xf>
    <xf borderId="0" fillId="0" fontId="3" numFmtId="16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right" vertical="bottom"/>
    </xf>
    <xf borderId="1" fillId="15" fontId="3" numFmtId="0" xfId="0" applyAlignment="1" applyBorder="1" applyFont="1">
      <alignment vertical="bottom"/>
    </xf>
    <xf borderId="0" fillId="13" fontId="3" numFmtId="0" xfId="0" applyFont="1"/>
    <xf borderId="1" fillId="21" fontId="7" numFmtId="0" xfId="0" applyAlignment="1" applyBorder="1" applyFill="1" applyFont="1">
      <alignment vertical="bottom"/>
    </xf>
    <xf borderId="1" fillId="21" fontId="7" numFmtId="165" xfId="0" applyAlignment="1" applyBorder="1" applyFont="1" applyNumberFormat="1">
      <alignment horizontal="right" vertical="bottom"/>
    </xf>
    <xf borderId="0" fillId="13" fontId="1" numFmtId="3" xfId="0" applyAlignment="1" applyFont="1" applyNumberFormat="1">
      <alignment horizontal="right" vertical="bottom"/>
    </xf>
    <xf borderId="1" fillId="22" fontId="7" numFmtId="0" xfId="0" applyAlignment="1" applyBorder="1" applyFill="1" applyFont="1">
      <alignment vertical="bottom"/>
    </xf>
    <xf borderId="1" fillId="22" fontId="7" numFmtId="165" xfId="0" applyAlignment="1" applyBorder="1" applyFont="1" applyNumberFormat="1">
      <alignment horizontal="right" vertical="bottom"/>
    </xf>
    <xf borderId="1" fillId="17" fontId="7" numFmtId="0" xfId="0" applyAlignment="1" applyBorder="1" applyFont="1">
      <alignment vertical="bottom"/>
    </xf>
    <xf borderId="1" fillId="17" fontId="7" numFmtId="165" xfId="0" applyAlignment="1" applyBorder="1" applyFont="1" applyNumberFormat="1">
      <alignment horizontal="right" vertical="bottom"/>
    </xf>
    <xf borderId="1" fillId="21" fontId="7" numFmtId="9" xfId="0" applyAlignment="1" applyBorder="1" applyFont="1" applyNumberFormat="1">
      <alignment horizontal="right" vertical="bottom"/>
    </xf>
    <xf borderId="0" fillId="13" fontId="1" numFmtId="9" xfId="0" applyAlignment="1" applyFont="1" applyNumberFormat="1">
      <alignment horizontal="right" vertical="bottom"/>
    </xf>
    <xf borderId="0" fillId="13" fontId="1" numFmtId="10" xfId="0" applyAlignment="1" applyFont="1" applyNumberFormat="1">
      <alignment horizontal="right" vertical="bottom"/>
    </xf>
    <xf borderId="1" fillId="20" fontId="7" numFmtId="0" xfId="0" applyAlignment="1" applyBorder="1" applyFont="1">
      <alignment vertical="bottom"/>
    </xf>
    <xf borderId="1" fillId="20" fontId="7" numFmtId="165" xfId="0" applyAlignment="1" applyBorder="1" applyFont="1" applyNumberFormat="1">
      <alignment horizontal="right" vertical="bottom"/>
    </xf>
    <xf borderId="1" fillId="23" fontId="7" numFmtId="0" xfId="0" applyAlignment="1" applyBorder="1" applyFill="1" applyFont="1">
      <alignment vertical="bottom"/>
    </xf>
    <xf borderId="1" fillId="23" fontId="7" numFmtId="165" xfId="0" applyAlignment="1" applyBorder="1" applyFont="1" applyNumberFormat="1">
      <alignment horizontal="right" vertical="bottom"/>
    </xf>
    <xf borderId="1" fillId="19" fontId="7" numFmtId="0" xfId="0" applyAlignment="1" applyBorder="1" applyFont="1">
      <alignment vertical="bottom"/>
    </xf>
    <xf borderId="1" fillId="19" fontId="7" numFmtId="165" xfId="0" applyAlignment="1" applyBorder="1" applyFont="1" applyNumberFormat="1">
      <alignment horizontal="right" vertical="bottom"/>
    </xf>
    <xf borderId="1" fillId="15" fontId="7" numFmtId="0" xfId="0" applyAlignment="1" applyBorder="1" applyFont="1">
      <alignment vertical="bottom"/>
    </xf>
    <xf borderId="1" fillId="15" fontId="7" numFmtId="165" xfId="0" applyAlignment="1" applyBorder="1" applyFont="1" applyNumberFormat="1">
      <alignment horizontal="right" vertical="bottom"/>
    </xf>
    <xf borderId="1" fillId="21" fontId="7" numFmtId="10" xfId="0" applyAlignment="1" applyBorder="1" applyFont="1" applyNumberFormat="1">
      <alignment horizontal="right" vertical="bottom"/>
    </xf>
    <xf borderId="1" fillId="13" fontId="1" numFmtId="0" xfId="0" applyAlignment="1" applyBorder="1" applyFont="1">
      <alignment vertical="bottom"/>
    </xf>
    <xf borderId="1" fillId="13" fontId="1" numFmtId="166" xfId="0" applyAlignment="1" applyBorder="1" applyFont="1" applyNumberFormat="1">
      <alignment horizontal="right" vertical="bottom"/>
    </xf>
    <xf borderId="1" fillId="21" fontId="1" numFmtId="0" xfId="0" applyAlignment="1" applyBorder="1" applyFont="1">
      <alignment vertical="bottom"/>
    </xf>
    <xf borderId="1" fillId="21" fontId="1" numFmtId="3" xfId="0" applyAlignment="1" applyBorder="1" applyFont="1" applyNumberFormat="1">
      <alignment vertical="bottom"/>
    </xf>
    <xf borderId="1" fillId="21" fontId="1" numFmtId="165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vertical="bottom"/>
    </xf>
    <xf borderId="1" fillId="13" fontId="6" numFmtId="165" xfId="0" applyAlignment="1" applyBorder="1" applyFont="1" applyNumberFormat="1">
      <alignment vertical="bottom"/>
    </xf>
    <xf borderId="1" fillId="13" fontId="3" numFmtId="3" xfId="0" applyAlignment="1" applyBorder="1" applyFont="1" applyNumberFormat="1">
      <alignment vertical="bottom"/>
    </xf>
    <xf borderId="1" fillId="21" fontId="3" numFmtId="9" xfId="0" applyAlignment="1" applyBorder="1" applyFont="1" applyNumberFormat="1">
      <alignment vertical="bottom"/>
    </xf>
    <xf borderId="1" fillId="13" fontId="5" numFmtId="0" xfId="0" applyAlignment="1" applyBorder="1" applyFont="1">
      <alignment vertical="bottom"/>
    </xf>
    <xf borderId="1" fillId="13" fontId="3" numFmtId="165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1" fillId="21" fontId="3" numFmtId="10" xfId="0" applyAlignment="1" applyBorder="1" applyFont="1" applyNumberFormat="1">
      <alignment vertical="bottom"/>
    </xf>
    <xf borderId="1" fillId="3" fontId="6" numFmtId="0" xfId="0" applyBorder="1" applyFont="1"/>
    <xf borderId="1" fillId="3" fontId="6" numFmtId="9" xfId="0" applyBorder="1" applyFont="1" applyNumberFormat="1"/>
    <xf borderId="1" fillId="3" fontId="3" numFmtId="165" xfId="0" applyBorder="1" applyFont="1" applyNumberFormat="1"/>
    <xf borderId="1" fillId="15" fontId="1" numFmtId="165" xfId="0" applyAlignment="1" applyBorder="1" applyFont="1" applyNumberFormat="1">
      <alignment horizontal="right" vertical="bottom"/>
    </xf>
    <xf borderId="1" fillId="0" fontId="3" numFmtId="0" xfId="0" applyBorder="1" applyFont="1"/>
    <xf borderId="1" fillId="0" fontId="3" numFmtId="9" xfId="0" applyBorder="1" applyFont="1" applyNumberFormat="1"/>
    <xf borderId="1" fillId="0" fontId="3" numFmtId="165" xfId="0" applyBorder="1" applyFont="1" applyNumberFormat="1"/>
    <xf borderId="1" fillId="0" fontId="3" numFmtId="10" xfId="0" applyBorder="1" applyFont="1" applyNumberFormat="1"/>
    <xf borderId="1" fillId="0" fontId="6" numFmtId="0" xfId="0" applyBorder="1" applyFont="1"/>
    <xf borderId="1" fillId="0" fontId="6" numFmtId="9" xfId="0" applyBorder="1" applyFont="1" applyNumberFormat="1"/>
    <xf borderId="0" fillId="0" fontId="3" numFmtId="164" xfId="0" applyFont="1" applyNumberFormat="1"/>
    <xf borderId="1" fillId="15" fontId="1" numFmtId="9" xfId="0" applyAlignment="1" applyBorder="1" applyFont="1" applyNumberFormat="1">
      <alignment horizontal="right" vertical="bottom"/>
    </xf>
    <xf borderId="1" fillId="5" fontId="1" numFmtId="0" xfId="0" applyAlignment="1" applyBorder="1" applyFont="1">
      <alignment vertical="bottom"/>
    </xf>
    <xf borderId="1" fillId="5" fontId="1" numFmtId="1" xfId="0" applyAlignment="1" applyBorder="1" applyFont="1" applyNumberFormat="1">
      <alignment horizontal="right" vertical="bottom"/>
    </xf>
    <xf borderId="1" fillId="10" fontId="1" numFmtId="0" xfId="0" applyAlignment="1" applyBorder="1" applyFont="1">
      <alignment vertical="bottom"/>
    </xf>
    <xf borderId="1" fillId="10" fontId="1" numFmtId="1" xfId="0" applyAlignment="1" applyBorder="1" applyFont="1" applyNumberFormat="1">
      <alignment horizontal="right" vertical="bottom"/>
    </xf>
    <xf borderId="1" fillId="7" fontId="1" numFmtId="0" xfId="0" applyAlignment="1" applyBorder="1" applyFont="1">
      <alignment vertical="bottom"/>
    </xf>
    <xf borderId="1" fillId="7" fontId="1" numFmtId="1" xfId="0" applyAlignment="1" applyBorder="1" applyFont="1" applyNumberFormat="1">
      <alignment horizontal="right" vertical="bottom"/>
    </xf>
    <xf borderId="1" fillId="24" fontId="1" numFmtId="0" xfId="0" applyAlignment="1" applyBorder="1" applyFill="1" applyFont="1">
      <alignment vertical="bottom"/>
    </xf>
    <xf borderId="1" fillId="24" fontId="1" numFmtId="1" xfId="0" applyAlignment="1" applyBorder="1" applyFont="1" applyNumberFormat="1">
      <alignment horizontal="right" vertical="bottom"/>
    </xf>
    <xf borderId="1" fillId="12" fontId="1" numFmtId="0" xfId="0" applyAlignment="1" applyBorder="1" applyFont="1">
      <alignment vertical="bottom"/>
    </xf>
    <xf borderId="1" fillId="12" fontId="1" numFmtId="1" xfId="0" applyAlignment="1" applyBorder="1" applyFont="1" applyNumberFormat="1">
      <alignment horizontal="right" vertical="bottom"/>
    </xf>
    <xf borderId="1" fillId="25" fontId="1" numFmtId="0" xfId="0" applyAlignment="1" applyBorder="1" applyFill="1" applyFont="1">
      <alignment vertical="bottom"/>
    </xf>
    <xf borderId="1" fillId="25" fontId="1" numFmtId="164" xfId="0" applyAlignment="1" applyBorder="1" applyFont="1" applyNumberFormat="1">
      <alignment horizontal="right" vertical="bottom"/>
    </xf>
    <xf borderId="0" fillId="0" fontId="1" numFmtId="167" xfId="0" applyAlignment="1" applyFont="1" applyNumberFormat="1">
      <alignment horizontal="left"/>
    </xf>
    <xf borderId="0" fillId="0" fontId="3" numFmtId="165" xfId="0" applyFont="1" applyNumberFormat="1"/>
    <xf borderId="0" fillId="13" fontId="5" numFmtId="0" xfId="0" applyFont="1"/>
    <xf borderId="1" fillId="21" fontId="5" numFmtId="0" xfId="0" applyBorder="1" applyFont="1"/>
    <xf borderId="1" fillId="21" fontId="5" numFmtId="9" xfId="0" applyBorder="1" applyFont="1" applyNumberFormat="1"/>
    <xf borderId="1" fillId="21" fontId="5" numFmtId="165" xfId="0" applyBorder="1" applyFont="1" applyNumberFormat="1"/>
    <xf borderId="1" fillId="0" fontId="3" numFmtId="168" xfId="0" applyBorder="1" applyFont="1" applyNumberFormat="1"/>
    <xf borderId="1" fillId="13" fontId="3" numFmtId="165" xfId="0" applyBorder="1" applyFont="1" applyNumberFormat="1"/>
    <xf borderId="1" fillId="26" fontId="3" numFmtId="0" xfId="0" applyBorder="1" applyFill="1" applyFont="1"/>
    <xf borderId="1" fillId="26" fontId="3" numFmtId="168" xfId="0" applyBorder="1" applyFont="1" applyNumberFormat="1"/>
    <xf borderId="1" fillId="26" fontId="3" numFmtId="165" xfId="0" applyBorder="1" applyFont="1" applyNumberFormat="1"/>
    <xf borderId="1" fillId="21" fontId="5" numFmtId="10" xfId="0" applyBorder="1" applyFont="1" applyNumberFormat="1"/>
    <xf borderId="0" fillId="0" fontId="8" numFmtId="167" xfId="0" applyAlignment="1" applyFont="1" applyNumberFormat="1">
      <alignment horizontal="left"/>
    </xf>
    <xf borderId="1" fillId="7" fontId="2" numFmtId="0" xfId="0" applyBorder="1" applyFont="1"/>
    <xf borderId="1" fillId="7" fontId="2" numFmtId="0" xfId="0" applyAlignment="1" applyBorder="1" applyFont="1">
      <alignment horizontal="center"/>
    </xf>
    <xf borderId="1" fillId="0" fontId="2" numFmtId="0" xfId="0" applyBorder="1" applyFont="1"/>
    <xf borderId="1" fillId="0" fontId="2" numFmtId="165" xfId="0" applyBorder="1" applyFont="1" applyNumberFormat="1"/>
    <xf borderId="1" fillId="0" fontId="2" numFmtId="10" xfId="0" applyBorder="1" applyFont="1" applyNumberFormat="1"/>
    <xf borderId="1" fillId="6" fontId="2" numFmtId="0" xfId="0" applyBorder="1" applyFont="1"/>
    <xf borderId="1" fillId="6" fontId="2" numFmtId="165" xfId="0" applyBorder="1" applyFont="1" applyNumberFormat="1"/>
    <xf borderId="1" fillId="6" fontId="2" numFmtId="0" xfId="0" applyAlignment="1" applyBorder="1" applyFont="1">
      <alignment horizontal="right"/>
    </xf>
    <xf borderId="0" fillId="13" fontId="3" numFmtId="164" xfId="0" applyFont="1" applyNumberFormat="1"/>
    <xf borderId="0" fillId="13" fontId="5" numFmtId="164" xfId="0" applyFont="1" applyNumberFormat="1"/>
    <xf borderId="1" fillId="0" fontId="5" numFmtId="164" xfId="0" applyAlignment="1" applyBorder="1" applyFont="1" applyNumberFormat="1">
      <alignment vertical="bottom"/>
    </xf>
    <xf borderId="1" fillId="0" fontId="3" numFmtId="164" xfId="0" applyAlignment="1" applyBorder="1" applyFont="1" applyNumberFormat="1">
      <alignment vertical="bottom"/>
    </xf>
    <xf borderId="5" fillId="10" fontId="3" numFmtId="4" xfId="0" applyAlignment="1" applyBorder="1" applyFont="1" applyNumberFormat="1">
      <alignment vertical="bottom"/>
    </xf>
    <xf borderId="5" fillId="11" fontId="3" numFmtId="4" xfId="0" applyAlignment="1" applyBorder="1" applyFont="1" applyNumberFormat="1">
      <alignment vertical="bottom"/>
    </xf>
    <xf borderId="5" fillId="12" fontId="3" numFmtId="4" xfId="0" applyAlignment="1" applyBorder="1" applyFont="1" applyNumberFormat="1">
      <alignment vertical="bottom"/>
    </xf>
    <xf borderId="5" fillId="0" fontId="3" numFmtId="4" xfId="0" applyAlignment="1" applyBorder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13" fontId="3" numFmtId="0" xfId="0" applyAlignment="1" applyFont="1">
      <alignment vertical="bottom"/>
    </xf>
    <xf borderId="1" fillId="13" fontId="9" numFmtId="165" xfId="0" applyAlignment="1" applyBorder="1" applyFont="1" applyNumberFormat="1">
      <alignment horizontal="center" vertical="bottom"/>
    </xf>
    <xf borderId="1" fillId="0" fontId="3" numFmtId="4" xfId="0" applyAlignment="1" applyBorder="1" applyFont="1" applyNumberFormat="1">
      <alignment horizontal="right" vertical="bottom"/>
    </xf>
    <xf borderId="0" fillId="13" fontId="3" numFmtId="9" xfId="0" applyAlignment="1" applyFont="1" applyNumberFormat="1">
      <alignment vertical="bottom"/>
    </xf>
    <xf borderId="0" fillId="13" fontId="3" numFmtId="165" xfId="0" applyAlignment="1" applyFont="1" applyNumberFormat="1">
      <alignment vertical="bottom"/>
    </xf>
    <xf borderId="1" fillId="16" fontId="3" numFmtId="1" xfId="0" applyAlignment="1" applyBorder="1" applyFont="1" applyNumberFormat="1">
      <alignment vertical="bottom"/>
    </xf>
    <xf borderId="0" fillId="13" fontId="3" numFmtId="10" xfId="0" applyAlignment="1" applyFont="1" applyNumberFormat="1">
      <alignment vertical="bottom"/>
    </xf>
    <xf borderId="0" fillId="0" fontId="4" numFmtId="0" xfId="0" applyAlignment="1" applyFont="1">
      <alignment horizontal="right" vertical="bottom"/>
    </xf>
    <xf borderId="1" fillId="13" fontId="10" numFmtId="1" xfId="0" applyAlignment="1" applyBorder="1" applyFont="1" applyNumberFormat="1">
      <alignment horizontal="right" vertical="bottom"/>
    </xf>
    <xf borderId="0" fillId="13" fontId="3" numFmtId="1" xfId="0" applyFont="1" applyNumberFormat="1"/>
    <xf borderId="1" fillId="13" fontId="1" numFmtId="1" xfId="0" applyAlignment="1" applyBorder="1" applyFont="1" applyNumberFormat="1">
      <alignment horizontal="right" vertical="bottom"/>
    </xf>
    <xf borderId="0" fillId="0" fontId="3" numFmtId="9" xfId="0" applyFont="1" applyNumberFormat="1"/>
    <xf borderId="0" fillId="13" fontId="3" numFmtId="165" xfId="0" applyFont="1" applyNumberFormat="1"/>
    <xf borderId="0" fillId="13" fontId="3" numFmtId="165" xfId="0" applyAlignment="1" applyFont="1" applyNumberFormat="1">
      <alignment horizontal="right" vertical="bottom"/>
    </xf>
    <xf borderId="0" fillId="13" fontId="5" numFmtId="9" xfId="0" applyFont="1" applyNumberFormat="1"/>
    <xf borderId="0" fillId="13" fontId="3" numFmtId="168" xfId="0" applyFont="1" applyNumberFormat="1"/>
    <xf borderId="0" fillId="13" fontId="5" numFmtId="10" xfId="0" applyFont="1" applyNumberFormat="1"/>
    <xf borderId="5" fillId="3" fontId="3" numFmtId="165" xfId="0" applyAlignment="1" applyBorder="1" applyFont="1" applyNumberFormat="1">
      <alignment horizontal="right" vertical="bottom"/>
    </xf>
    <xf borderId="5" fillId="5" fontId="4" numFmtId="165" xfId="0" applyAlignment="1" applyBorder="1" applyFont="1" applyNumberFormat="1">
      <alignment horizontal="right" vertical="bottom"/>
    </xf>
    <xf borderId="1" fillId="0" fontId="5" numFmtId="1" xfId="0" applyAlignment="1" applyBorder="1" applyFont="1" applyNumberFormat="1">
      <alignment vertical="bottom"/>
    </xf>
    <xf borderId="1" fillId="0" fontId="5" numFmtId="165" xfId="0" applyAlignment="1" applyBorder="1" applyFont="1" applyNumberFormat="1">
      <alignment horizontal="right" vertical="bottom"/>
    </xf>
    <xf borderId="1" fillId="0" fontId="3" numFmtId="1" xfId="0" applyAlignment="1" applyBorder="1" applyFont="1" applyNumberFormat="1">
      <alignment vertical="bottom"/>
    </xf>
    <xf borderId="1" fillId="0" fontId="5" numFmtId="1" xfId="0" applyAlignment="1" applyBorder="1" applyFont="1" applyNumberFormat="1">
      <alignment horizontal="right" vertical="bottom"/>
    </xf>
    <xf borderId="5" fillId="13" fontId="3" numFmtId="1" xfId="0" applyAlignment="1" applyBorder="1" applyFont="1" applyNumberFormat="1">
      <alignment vertical="bottom"/>
    </xf>
    <xf borderId="1" fillId="13" fontId="9" numFmtId="1" xfId="0" applyAlignment="1" applyBorder="1" applyFont="1" applyNumberFormat="1">
      <alignment horizontal="center" vertical="bottom"/>
    </xf>
    <xf borderId="1" fillId="0" fontId="3" numFmtId="164" xfId="0" applyAlignment="1" applyBorder="1" applyFont="1" applyNumberFormat="1">
      <alignment horizontal="right" vertical="bottom"/>
    </xf>
    <xf borderId="1" fillId="0" fontId="3" numFmtId="1" xfId="0" applyAlignment="1" applyBorder="1" applyFont="1" applyNumberFormat="1">
      <alignment horizontal="right" vertical="bottom"/>
    </xf>
    <xf borderId="1" fillId="15" fontId="1" numFmtId="3" xfId="0" applyAlignment="1" applyBorder="1" applyFont="1" applyNumberFormat="1">
      <alignment horizontal="right" vertical="bottom"/>
    </xf>
    <xf borderId="1" fillId="27" fontId="3" numFmtId="4" xfId="0" applyAlignment="1" applyBorder="1" applyFill="1" applyFont="1" applyNumberFormat="1">
      <alignment vertical="bottom"/>
    </xf>
    <xf borderId="1" fillId="0" fontId="3" numFmtId="4" xfId="0" applyAlignment="1" applyBorder="1" applyFont="1" applyNumberFormat="1">
      <alignment vertical="bottom"/>
    </xf>
    <xf borderId="0" fillId="13" fontId="3" numFmtId="4" xfId="0" applyAlignment="1" applyFont="1" applyNumberFormat="1">
      <alignment vertical="bottom"/>
    </xf>
    <xf borderId="1" fillId="28" fontId="11" numFmtId="3" xfId="0" applyAlignment="1" applyBorder="1" applyFill="1" applyFont="1" applyNumberFormat="1">
      <alignment horizontal="center" shrinkToFit="0" wrapText="0"/>
    </xf>
    <xf borderId="5" fillId="12" fontId="5" numFmtId="1" xfId="0" applyAlignment="1" applyBorder="1" applyFont="1" applyNumberFormat="1">
      <alignment horizontal="right" vertical="bottom"/>
    </xf>
    <xf borderId="0" fillId="0" fontId="2" numFmtId="0" xfId="0" applyAlignment="1" applyFont="1">
      <alignment horizontal="left"/>
    </xf>
    <xf borderId="0" fillId="0" fontId="2" numFmtId="1" xfId="0" applyFont="1" applyNumberFormat="1"/>
    <xf borderId="1" fillId="6" fontId="2" numFmtId="9" xfId="0" applyBorder="1" applyFont="1" applyNumberFormat="1"/>
    <xf borderId="1" fillId="13" fontId="1" numFmtId="0" xfId="0" applyAlignment="1" applyBorder="1" applyFont="1">
      <alignment horizontal="right" vertical="bottom"/>
    </xf>
    <xf borderId="2" fillId="2" fontId="2" numFmtId="1" xfId="0" applyAlignment="1" applyBorder="1" applyFont="1" applyNumberFormat="1">
      <alignment vertical="bottom"/>
    </xf>
    <xf borderId="3" fillId="0" fontId="3" numFmtId="1" xfId="0" applyAlignment="1" applyBorder="1" applyFont="1" applyNumberFormat="1">
      <alignment vertical="bottom"/>
    </xf>
    <xf borderId="5" fillId="0" fontId="5" numFmtId="1" xfId="0" applyAlignment="1" applyBorder="1" applyFont="1" applyNumberFormat="1">
      <alignment vertical="bottom"/>
    </xf>
    <xf borderId="5" fillId="3" fontId="3" numFmtId="1" xfId="0" applyAlignment="1" applyBorder="1" applyFont="1" applyNumberFormat="1">
      <alignment horizontal="right" vertical="bottom"/>
    </xf>
    <xf borderId="5" fillId="0" fontId="4" numFmtId="10" xfId="0" applyAlignment="1" applyBorder="1" applyFont="1" applyNumberFormat="1">
      <alignment horizontal="right" vertical="bottom"/>
    </xf>
    <xf borderId="4" fillId="0" fontId="4" numFmtId="1" xfId="0" applyAlignment="1" applyBorder="1" applyFont="1" applyNumberFormat="1">
      <alignment vertical="bottom"/>
    </xf>
    <xf borderId="5" fillId="7" fontId="4" numFmtId="1" xfId="0" applyAlignment="1" applyBorder="1" applyFont="1" applyNumberFormat="1">
      <alignment horizontal="right" vertical="bottom"/>
    </xf>
    <xf borderId="5" fillId="8" fontId="4" numFmtId="1" xfId="0" applyAlignment="1" applyBorder="1" applyFont="1" applyNumberFormat="1">
      <alignment horizontal="right" vertical="bottom"/>
    </xf>
    <xf borderId="5" fillId="9" fontId="3" numFmtId="1" xfId="0" applyAlignment="1" applyBorder="1" applyFont="1" applyNumberFormat="1">
      <alignment horizontal="right" vertical="bottom"/>
    </xf>
    <xf borderId="1" fillId="0" fontId="3" numFmtId="10" xfId="0" applyAlignment="1" applyBorder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10" xfId="0" applyAlignment="1" applyFont="1" applyNumberFormat="1">
      <alignment vertical="bottom"/>
    </xf>
    <xf borderId="0" fillId="13" fontId="3" numFmtId="0" xfId="0" applyAlignment="1" applyFont="1">
      <alignment horizontal="right" vertical="bottom"/>
    </xf>
    <xf borderId="1" fillId="13" fontId="10" numFmtId="0" xfId="0" applyAlignment="1" applyBorder="1" applyFont="1">
      <alignment vertical="bottom"/>
    </xf>
    <xf borderId="2" fillId="13" fontId="12" numFmtId="0" xfId="0" applyAlignment="1" applyBorder="1" applyFont="1">
      <alignment vertical="bottom"/>
    </xf>
    <xf borderId="0" fillId="13" fontId="13" numFmtId="0" xfId="0" applyAlignment="1" applyFont="1">
      <alignment vertical="bottom"/>
    </xf>
    <xf borderId="0" fillId="13" fontId="13" numFmtId="0" xfId="0" applyFont="1"/>
    <xf borderId="1" fillId="0" fontId="5" numFmtId="0" xfId="0" applyAlignment="1" applyBorder="1" applyFont="1">
      <alignment horizontal="left" vertical="bottom"/>
    </xf>
    <xf borderId="1" fillId="5" fontId="5" numFmtId="0" xfId="0" applyAlignment="1" applyBorder="1" applyFont="1">
      <alignment horizontal="right" vertical="bottom"/>
    </xf>
    <xf borderId="1" fillId="10" fontId="5" numFmtId="4" xfId="0" applyAlignment="1" applyBorder="1" applyFont="1" applyNumberFormat="1">
      <alignment horizontal="right" vertical="bottom"/>
    </xf>
    <xf borderId="1" fillId="12" fontId="5" numFmtId="2" xfId="0" applyAlignment="1" applyBorder="1" applyFont="1" applyNumberFormat="1">
      <alignment horizontal="right" vertical="bottom"/>
    </xf>
    <xf borderId="1" fillId="6" fontId="4" numFmtId="4" xfId="0" applyAlignment="1" applyBorder="1" applyFont="1" applyNumberFormat="1">
      <alignment horizontal="right" vertical="bottom"/>
    </xf>
    <xf borderId="1" fillId="17" fontId="4" numFmtId="4" xfId="0" applyAlignment="1" applyBorder="1" applyFont="1" applyNumberFormat="1">
      <alignment horizontal="right" vertical="bottom"/>
    </xf>
    <xf borderId="1" fillId="18" fontId="4" numFmtId="0" xfId="0" applyAlignment="1" applyBorder="1" applyFont="1">
      <alignment horizontal="right" vertical="bottom"/>
    </xf>
    <xf borderId="1" fillId="7" fontId="4" numFmtId="0" xfId="0" applyAlignment="1" applyBorder="1" applyFont="1">
      <alignment horizontal="right" vertical="bottom"/>
    </xf>
    <xf borderId="1" fillId="19" fontId="4" numFmtId="0" xfId="0" applyAlignment="1" applyBorder="1" applyFont="1">
      <alignment horizontal="right" vertical="bottom"/>
    </xf>
    <xf borderId="1" fillId="0" fontId="14" numFmtId="4" xfId="0" applyAlignment="1" applyBorder="1" applyFont="1" applyNumberFormat="1">
      <alignment horizontal="right" vertical="bottom"/>
    </xf>
    <xf borderId="1" fillId="10" fontId="5" numFmtId="0" xfId="0" applyAlignment="1" applyBorder="1" applyFont="1">
      <alignment horizontal="right" vertical="bottom"/>
    </xf>
    <xf borderId="1" fillId="5" fontId="3" numFmtId="0" xfId="0" applyAlignment="1" applyBorder="1" applyFont="1">
      <alignment horizontal="right" vertical="bottom"/>
    </xf>
    <xf borderId="1" fillId="18" fontId="3" numFmtId="0" xfId="0" applyAlignment="1" applyBorder="1" applyFont="1">
      <alignment horizontal="right" vertical="bottom"/>
    </xf>
    <xf borderId="1" fillId="19" fontId="3" numFmtId="0" xfId="0" applyAlignment="1" applyBorder="1" applyFont="1">
      <alignment horizontal="right" vertical="bottom"/>
    </xf>
    <xf borderId="1" fillId="20" fontId="3" numFmtId="0" xfId="0" applyAlignment="1" applyBorder="1" applyFont="1">
      <alignment horizontal="right" vertical="bottom"/>
    </xf>
    <xf borderId="1" fillId="0" fontId="14" numFmtId="0" xfId="0" applyAlignment="1" applyBorder="1" applyFont="1">
      <alignment horizontal="right" vertical="bottom"/>
    </xf>
    <xf borderId="0" fillId="0" fontId="7" numFmtId="0" xfId="0" applyAlignment="1" applyFont="1">
      <alignment horizontal="left"/>
    </xf>
    <xf borderId="0" fillId="0" fontId="7" numFmtId="3" xfId="0" applyFont="1" applyNumberFormat="1"/>
    <xf borderId="1" fillId="22" fontId="15" numFmtId="0" xfId="0" applyAlignment="1" applyBorder="1" applyFont="1">
      <alignment vertical="bottom"/>
    </xf>
    <xf borderId="1" fillId="22" fontId="15" numFmtId="165" xfId="0" applyAlignment="1" applyBorder="1" applyFont="1" applyNumberFormat="1">
      <alignment horizontal="right" vertical="bottom"/>
    </xf>
    <xf borderId="1" fillId="17" fontId="15" numFmtId="0" xfId="0" applyAlignment="1" applyBorder="1" applyFont="1">
      <alignment vertical="bottom"/>
    </xf>
    <xf borderId="1" fillId="17" fontId="15" numFmtId="165" xfId="0" applyAlignment="1" applyBorder="1" applyFont="1" applyNumberFormat="1">
      <alignment horizontal="right" vertical="bottom"/>
    </xf>
    <xf borderId="1" fillId="20" fontId="15" numFmtId="0" xfId="0" applyAlignment="1" applyBorder="1" applyFont="1">
      <alignment vertical="bottom"/>
    </xf>
    <xf borderId="1" fillId="20" fontId="15" numFmtId="165" xfId="0" applyAlignment="1" applyBorder="1" applyFont="1" applyNumberFormat="1">
      <alignment horizontal="right" vertical="bottom"/>
    </xf>
    <xf borderId="1" fillId="23" fontId="15" numFmtId="0" xfId="0" applyAlignment="1" applyBorder="1" applyFont="1">
      <alignment vertical="bottom"/>
    </xf>
    <xf borderId="1" fillId="23" fontId="15" numFmtId="165" xfId="0" applyAlignment="1" applyBorder="1" applyFont="1" applyNumberFormat="1">
      <alignment horizontal="right" vertical="bottom"/>
    </xf>
    <xf borderId="0" fillId="13" fontId="4" numFmtId="1" xfId="0" applyFont="1" applyNumberFormat="1"/>
    <xf borderId="1" fillId="0" fontId="2" numFmtId="3" xfId="0" applyBorder="1" applyFont="1" applyNumberFormat="1"/>
    <xf borderId="1" fillId="6" fontId="2" numFmtId="3" xfId="0" applyBorder="1" applyFont="1" applyNumberFormat="1"/>
    <xf borderId="5" fillId="5" fontId="3" numFmtId="0" xfId="0" applyAlignment="1" applyBorder="1" applyFon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5" fillId="5" fontId="3" numFmtId="1" xfId="0" applyAlignment="1" applyBorder="1" applyFont="1" applyNumberFormat="1">
      <alignment vertical="bottom"/>
    </xf>
    <xf borderId="5" fillId="0" fontId="3" numFmtId="10" xfId="0" applyAlignment="1" applyBorder="1" applyFont="1" applyNumberFormat="1">
      <alignment vertical="bottom"/>
    </xf>
    <xf borderId="1" fillId="5" fontId="5" numFmtId="4" xfId="0" applyAlignment="1" applyBorder="1" applyFont="1" applyNumberFormat="1">
      <alignment horizontal="right" vertical="bottom"/>
    </xf>
    <xf borderId="1" fillId="20" fontId="4" numFmtId="4" xfId="0" applyAlignment="1" applyBorder="1" applyFont="1" applyNumberFormat="1">
      <alignment horizontal="right" vertical="bottom"/>
    </xf>
    <xf borderId="0" fillId="5" fontId="16" numFmtId="4" xfId="0" applyAlignment="1" applyFont="1" applyNumberFormat="1">
      <alignment horizontal="right" vertical="bottom"/>
    </xf>
    <xf borderId="1" fillId="5" fontId="3" numFmtId="4" xfId="0" applyAlignment="1" applyBorder="1" applyFont="1" applyNumberFormat="1">
      <alignment vertical="bottom"/>
    </xf>
    <xf borderId="1" fillId="18" fontId="3" numFmtId="0" xfId="0" applyAlignment="1" applyBorder="1" applyFont="1">
      <alignment vertical="bottom"/>
    </xf>
    <xf borderId="1" fillId="19" fontId="3" numFmtId="0" xfId="0" applyAlignment="1" applyBorder="1" applyFont="1">
      <alignment vertical="bottom"/>
    </xf>
    <xf borderId="1" fillId="20" fontId="3" numFmtId="4" xfId="0" applyAlignment="1" applyBorder="1" applyFont="1" applyNumberFormat="1">
      <alignment vertical="bottom"/>
    </xf>
    <xf borderId="0" fillId="0" fontId="3" numFmtId="4" xfId="0" applyAlignment="1" applyFont="1" applyNumberFormat="1">
      <alignment vertical="bottom"/>
    </xf>
    <xf borderId="5" fillId="18" fontId="3" numFmtId="0" xfId="0" applyAlignment="1" applyBorder="1" applyFont="1">
      <alignment vertical="bottom"/>
    </xf>
    <xf borderId="5" fillId="19" fontId="3" numFmtId="0" xfId="0" applyAlignment="1" applyBorder="1" applyFont="1">
      <alignment vertical="bottom"/>
    </xf>
    <xf borderId="5" fillId="20" fontId="3" numFmtId="0" xfId="0" applyAlignment="1" applyBorder="1" applyFont="1">
      <alignment vertical="bottom"/>
    </xf>
    <xf borderId="1" fillId="5" fontId="3" numFmtId="1" xfId="0" applyAlignment="1" applyBorder="1" applyFont="1" applyNumberFormat="1">
      <alignment vertical="bottom"/>
    </xf>
    <xf borderId="1" fillId="20" fontId="3" numFmtId="0" xfId="0" applyAlignment="1" applyBorder="1" applyFont="1">
      <alignment vertical="bottom"/>
    </xf>
    <xf borderId="1" fillId="28" fontId="11" numFmtId="3" xfId="0" applyAlignment="1" applyBorder="1" applyFont="1" applyNumberFormat="1">
      <alignment horizontal="center" vertical="bottom"/>
    </xf>
    <xf borderId="0" fillId="13" fontId="1" numFmtId="0" xfId="0" applyAlignment="1" applyFont="1">
      <alignment vertical="bottom"/>
    </xf>
    <xf borderId="0" fillId="13" fontId="1" numFmtId="164" xfId="0" applyAlignment="1" applyFont="1" applyNumberFormat="1">
      <alignment horizontal="right" vertical="bottom"/>
    </xf>
    <xf borderId="1" fillId="13" fontId="1" numFmtId="164" xfId="0" applyAlignment="1" applyBorder="1" applyFont="1" applyNumberFormat="1">
      <alignment horizontal="right" vertical="bottom"/>
    </xf>
    <xf borderId="1" fillId="13" fontId="3" numFmtId="0" xfId="0" applyAlignment="1" applyBorder="1" applyFont="1">
      <alignment vertical="bottom"/>
    </xf>
    <xf borderId="1" fillId="13" fontId="3" numFmtId="2" xfId="0" applyAlignment="1" applyBorder="1" applyFont="1" applyNumberFormat="1">
      <alignment vertical="bottom"/>
    </xf>
    <xf borderId="1" fillId="13" fontId="3" numFmtId="0" xfId="0" applyBorder="1" applyFont="1"/>
    <xf borderId="1" fillId="13" fontId="4" numFmtId="0" xfId="0" applyAlignment="1" applyBorder="1" applyFont="1">
      <alignment horizontal="right" vertical="bottom"/>
    </xf>
    <xf borderId="0" fillId="0" fontId="8" numFmtId="0" xfId="0" applyAlignment="1" applyFont="1">
      <alignment horizontal="left"/>
    </xf>
    <xf borderId="1" fillId="21" fontId="1" numFmtId="0" xfId="0" applyBorder="1" applyFont="1"/>
    <xf borderId="1" fillId="21" fontId="1" numFmtId="3" xfId="0" applyBorder="1" applyFont="1" applyNumberFormat="1"/>
    <xf borderId="0" fillId="13" fontId="1" numFmtId="3" xfId="0" applyAlignment="1" applyFont="1" applyNumberFormat="1">
      <alignment vertical="bottom"/>
    </xf>
    <xf borderId="1" fillId="0" fontId="3" numFmtId="3" xfId="0" applyBorder="1" applyFont="1" applyNumberFormat="1"/>
    <xf borderId="0" fillId="13" fontId="3" numFmtId="3" xfId="0" applyAlignment="1" applyFont="1" applyNumberFormat="1">
      <alignment vertical="bottom"/>
    </xf>
    <xf borderId="1" fillId="21" fontId="1" numFmtId="165" xfId="0" applyBorder="1" applyFont="1" applyNumberFormat="1"/>
    <xf borderId="0" fillId="13" fontId="1" numFmtId="165" xfId="0" applyAlignment="1" applyFont="1" applyNumberFormat="1">
      <alignment vertical="bottom"/>
    </xf>
    <xf borderId="1" fillId="0" fontId="17" numFmtId="165" xfId="0" applyBorder="1" applyFont="1" applyNumberFormat="1"/>
    <xf borderId="0" fillId="13" fontId="6" numFmtId="0" xfId="0" applyAlignment="1" applyFont="1">
      <alignment vertical="bottom"/>
    </xf>
    <xf borderId="0" fillId="13" fontId="10" numFmtId="0" xfId="0" applyAlignment="1" applyFont="1">
      <alignment vertical="bottom"/>
    </xf>
    <xf borderId="0" fillId="13" fontId="12" numFmtId="0" xfId="0" applyAlignment="1" applyFont="1">
      <alignment vertical="bottom"/>
    </xf>
    <xf borderId="4" fillId="13" fontId="10" numFmtId="0" xfId="0" applyAlignment="1" applyBorder="1" applyFont="1">
      <alignment vertical="bottom"/>
    </xf>
    <xf borderId="5" fillId="13" fontId="12" numFmtId="0" xfId="0" applyAlignment="1" applyBorder="1" applyFont="1">
      <alignment vertical="bottom"/>
    </xf>
    <xf borderId="0" fillId="0" fontId="18" numFmtId="4" xfId="0" applyAlignment="1" applyFont="1" applyNumberFormat="1">
      <alignment horizontal="right" shrinkToFit="0" vertical="bottom" wrapText="0"/>
    </xf>
    <xf borderId="0" fillId="0" fontId="18" numFmtId="4" xfId="0" applyAlignment="1" applyFont="1" applyNumberFormat="1">
      <alignment shrinkToFit="0" vertical="bottom" wrapText="0"/>
    </xf>
    <xf borderId="1" fillId="0" fontId="18" numFmtId="0" xfId="0" applyAlignment="1" applyBorder="1" applyFont="1">
      <alignment shrinkToFit="0" vertical="bottom" wrapText="0"/>
    </xf>
    <xf borderId="1" fillId="0" fontId="18" numFmtId="4" xfId="0" applyAlignment="1" applyBorder="1" applyFont="1" applyNumberFormat="1">
      <alignment shrinkToFit="0" vertical="bottom" wrapText="0"/>
    </xf>
    <xf borderId="5" fillId="18" fontId="6" numFmtId="0" xfId="0" applyAlignment="1" applyBorder="1" applyFont="1">
      <alignment vertical="bottom"/>
    </xf>
    <xf borderId="1" fillId="12" fontId="1" numFmtId="1" xfId="0" applyBorder="1" applyFont="1" applyNumberFormat="1"/>
    <xf borderId="1" fillId="24" fontId="1" numFmtId="0" xfId="0" applyBorder="1" applyFont="1"/>
    <xf borderId="1" fillId="24" fontId="6" numFmtId="0" xfId="0" applyBorder="1" applyFont="1"/>
    <xf borderId="1" fillId="16" fontId="1" numFmtId="0" xfId="0" applyBorder="1" applyFont="1"/>
    <xf borderId="1" fillId="16" fontId="1" numFmtId="1" xfId="0" applyBorder="1" applyFont="1" applyNumberFormat="1"/>
    <xf borderId="1" fillId="15" fontId="1" numFmtId="0" xfId="0" applyBorder="1" applyFont="1"/>
    <xf borderId="1" fillId="15" fontId="1" numFmtId="3" xfId="0" applyBorder="1" applyFont="1" applyNumberFormat="1"/>
    <xf borderId="1" fillId="25" fontId="1" numFmtId="0" xfId="0" applyBorder="1" applyFont="1"/>
    <xf borderId="1" fillId="17" fontId="1" numFmtId="0" xfId="0" applyBorder="1" applyFont="1"/>
    <xf borderId="0" fillId="13" fontId="7" numFmtId="169" xfId="0" applyAlignment="1" applyFont="1" applyNumberFormat="1">
      <alignment horizontal="right" vertical="bottom"/>
    </xf>
    <xf borderId="0" fillId="0" fontId="1" numFmtId="165" xfId="0" applyAlignment="1" applyFont="1" applyNumberFormat="1">
      <alignment vertical="bottom"/>
    </xf>
    <xf borderId="0" fillId="0" fontId="3" numFmtId="3" xfId="0" applyFont="1" applyNumberFormat="1"/>
    <xf borderId="6" fillId="21" fontId="1" numFmtId="0" xfId="0" applyBorder="1" applyFont="1"/>
    <xf borderId="6" fillId="21" fontId="1" numFmtId="165" xfId="0" applyBorder="1" applyFont="1" applyNumberFormat="1"/>
    <xf borderId="0" fillId="13" fontId="17" numFmtId="0" xfId="0" applyFont="1"/>
    <xf borderId="0" fillId="13" fontId="3" numFmtId="9" xfId="0" applyFont="1" applyNumberFormat="1"/>
    <xf borderId="0" fillId="13" fontId="1" numFmtId="0" xfId="0" applyFont="1"/>
    <xf borderId="0" fillId="13" fontId="1" numFmtId="168" xfId="0" applyFont="1" applyNumberFormat="1"/>
    <xf borderId="0" fillId="13" fontId="1" numFmtId="10" xfId="0" applyFont="1" applyNumberFormat="1"/>
    <xf borderId="1" fillId="0" fontId="18" numFmtId="4" xfId="0" applyAlignment="1" applyBorder="1" applyFont="1" applyNumberFormat="1">
      <alignment horizontal="right" shrinkToFit="0" vertical="bottom" wrapText="0"/>
    </xf>
    <xf borderId="1" fillId="5" fontId="1" numFmtId="0" xfId="0" applyAlignment="1" applyBorder="1" applyFont="1">
      <alignment horizontal="right" vertical="bottom"/>
    </xf>
    <xf borderId="0" fillId="13" fontId="1" numFmtId="1" xfId="0" applyAlignment="1" applyFont="1" applyNumberFormat="1">
      <alignment horizontal="right" vertical="bottom"/>
    </xf>
    <xf borderId="1" fillId="5" fontId="4" numFmtId="0" xfId="0" applyAlignment="1" applyBorder="1" applyFont="1">
      <alignment horizontal="right" vertical="bottom"/>
    </xf>
    <xf borderId="0" fillId="0" fontId="3" numFmtId="170" xfId="0" applyFont="1" applyNumberFormat="1"/>
    <xf borderId="0" fillId="0" fontId="3" numFmtId="171" xfId="0" applyFont="1" applyNumberFormat="1"/>
    <xf borderId="0" fillId="23" fontId="19" numFmtId="0" xfId="0" applyFont="1"/>
    <xf borderId="0" fillId="29" fontId="2" numFmtId="0" xfId="0" applyAlignment="1" applyFill="1" applyFont="1">
      <alignment shrinkToFit="0" wrapText="0"/>
    </xf>
    <xf borderId="1" fillId="30" fontId="3" numFmtId="0" xfId="0" applyBorder="1" applyFill="1" applyFont="1"/>
    <xf borderId="1" fillId="8" fontId="6" numFmtId="4" xfId="0" applyBorder="1" applyFont="1" applyNumberFormat="1"/>
    <xf borderId="1" fillId="31" fontId="1" numFmtId="4" xfId="0" applyBorder="1" applyFill="1" applyFont="1" applyNumberFormat="1"/>
    <xf borderId="0" fillId="0" fontId="14" numFmtId="0" xfId="0" applyAlignment="1" applyFont="1">
      <alignment vertical="bottom"/>
    </xf>
    <xf borderId="0" fillId="13" fontId="3" numFmtId="1" xfId="0" applyAlignment="1" applyFont="1" applyNumberFormat="1">
      <alignment vertical="bottom"/>
    </xf>
    <xf borderId="1" fillId="15" fontId="1" numFmtId="172" xfId="0" applyAlignment="1" applyBorder="1" applyFont="1" applyNumberFormat="1">
      <alignment horizontal="right" vertical="bottom"/>
    </xf>
    <xf borderId="1" fillId="0" fontId="3" numFmtId="4" xfId="0" applyBorder="1" applyFont="1" applyNumberFormat="1"/>
    <xf borderId="0" fillId="0" fontId="3" numFmtId="4" xfId="0" applyFont="1" applyNumberFormat="1"/>
    <xf borderId="1" fillId="5" fontId="20" numFmtId="1" xfId="0" applyAlignment="1" applyBorder="1" applyFont="1" applyNumberFormat="1">
      <alignment horizontal="right" vertical="bottom"/>
    </xf>
    <xf borderId="5" fillId="18" fontId="3" numFmtId="0" xfId="0" applyAlignment="1" applyBorder="1" applyFont="1">
      <alignment horizontal="right" vertical="bottom"/>
    </xf>
    <xf borderId="5" fillId="19" fontId="3" numFmtId="0" xfId="0" applyAlignment="1" applyBorder="1" applyFont="1">
      <alignment horizontal="right" vertical="bottom"/>
    </xf>
    <xf borderId="5" fillId="20" fontId="3" numFmtId="0" xfId="0" applyAlignment="1" applyBorder="1" applyFont="1">
      <alignment horizontal="right" vertical="bottom"/>
    </xf>
    <xf borderId="5" fillId="5" fontId="3" numFmtId="1" xfId="0" applyAlignment="1" applyBorder="1" applyFont="1" applyNumberFormat="1">
      <alignment horizontal="right" vertical="bottom"/>
    </xf>
    <xf borderId="1" fillId="5" fontId="3" numFmtId="1" xfId="0" applyAlignment="1" applyBorder="1" applyFont="1" applyNumberFormat="1">
      <alignment horizontal="right" vertical="bottom"/>
    </xf>
    <xf borderId="0" fillId="0" fontId="3" numFmtId="10" xfId="0" applyFont="1" applyNumberFormat="1"/>
    <xf borderId="0" fillId="13" fontId="7" numFmtId="3" xfId="0" applyAlignment="1" applyFont="1" applyNumberFormat="1">
      <alignment horizontal="right" vertical="bottom"/>
    </xf>
    <xf borderId="5" fillId="9" fontId="3" numFmtId="3" xfId="0" applyAlignment="1" applyBorder="1" applyFont="1" applyNumberFormat="1">
      <alignment horizontal="right" vertical="bottom"/>
    </xf>
    <xf borderId="5" fillId="7" fontId="4" numFmtId="165" xfId="0" applyAlignment="1" applyBorder="1" applyFont="1" applyNumberFormat="1">
      <alignment horizontal="right" vertical="bottom"/>
    </xf>
    <xf borderId="1" fillId="0" fontId="3" numFmtId="9" xfId="0" applyAlignment="1" applyBorder="1" applyFont="1" applyNumberFormat="1">
      <alignment vertical="bottom"/>
    </xf>
    <xf borderId="1" fillId="13" fontId="9" numFmtId="173" xfId="0" applyAlignment="1" applyBorder="1" applyFont="1" applyNumberFormat="1">
      <alignment horizontal="center" vertical="bottom"/>
    </xf>
    <xf borderId="1" fillId="0" fontId="5" numFmtId="3" xfId="0" applyAlignment="1" applyBorder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13" fontId="3" numFmtId="4" xfId="0" applyAlignment="1" applyFont="1" applyNumberFormat="1">
      <alignment horizontal="right" vertical="bottom"/>
    </xf>
    <xf borderId="0" fillId="13" fontId="3" numFmtId="173" xfId="0" applyAlignment="1" applyFont="1" applyNumberFormat="1">
      <alignment horizontal="right" vertical="bottom"/>
    </xf>
    <xf borderId="1" fillId="15" fontId="1" numFmtId="173" xfId="0" applyAlignment="1" applyBorder="1" applyFont="1" applyNumberFormat="1">
      <alignment horizontal="right" vertical="bottom"/>
    </xf>
    <xf borderId="1" fillId="2" fontId="2" numFmtId="0" xfId="0" applyAlignment="1" applyBorder="1" applyFont="1">
      <alignment vertical="bottom"/>
    </xf>
    <xf borderId="0" fillId="5" fontId="21" numFmtId="4" xfId="0" applyAlignment="1" applyFont="1" applyNumberFormat="1">
      <alignment horizontal="right"/>
    </xf>
    <xf borderId="0" fillId="18" fontId="22" numFmtId="0" xfId="0" applyAlignment="1" applyFont="1">
      <alignment horizontal="right"/>
    </xf>
    <xf borderId="0" fillId="19" fontId="21" numFmtId="0" xfId="0" applyAlignment="1" applyFont="1">
      <alignment horizontal="right"/>
    </xf>
    <xf borderId="0" fillId="0" fontId="18" numFmtId="0" xfId="0" applyAlignment="1" applyFont="1">
      <alignment horizontal="right" shrinkToFit="0" vertical="bottom" wrapText="0"/>
    </xf>
    <xf borderId="0" fillId="20" fontId="21" numFmtId="4" xfId="0" applyAlignment="1" applyFont="1" applyNumberFormat="1">
      <alignment horizontal="right"/>
    </xf>
    <xf borderId="0" fillId="5" fontId="16" numFmtId="4" xfId="0" applyAlignment="1" applyFont="1" applyNumberFormat="1">
      <alignment horizontal="right"/>
    </xf>
    <xf borderId="0" fillId="18" fontId="23" numFmtId="0" xfId="0" applyAlignment="1" applyFont="1">
      <alignment horizontal="right"/>
    </xf>
    <xf borderId="0" fillId="19" fontId="16" numFmtId="0" xfId="0" applyAlignment="1" applyFont="1">
      <alignment horizontal="right"/>
    </xf>
    <xf borderId="0" fillId="5" fontId="3" numFmtId="4" xfId="0" applyAlignment="1" applyFont="1" applyNumberFormat="1">
      <alignment vertical="bottom"/>
    </xf>
    <xf borderId="0" fillId="13" fontId="24" numFmtId="0" xfId="0" applyAlignment="1" applyFont="1">
      <alignment horizontal="left"/>
    </xf>
    <xf borderId="0" fillId="5" fontId="18" numFmtId="0" xfId="0" applyAlignment="1" applyFont="1">
      <alignment horizontal="right" shrinkToFit="0" vertical="bottom" wrapText="0"/>
    </xf>
    <xf borderId="0" fillId="19" fontId="18" numFmtId="0" xfId="0" applyAlignment="1" applyFont="1">
      <alignment horizontal="right" shrinkToFit="0" vertical="bottom" wrapText="0"/>
    </xf>
    <xf borderId="0" fillId="5" fontId="18" numFmtId="1" xfId="0" applyAlignment="1" applyFont="1" applyNumberFormat="1">
      <alignment horizontal="right" shrinkToFit="0" vertical="bottom" wrapText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3.5"/>
    <col customWidth="1" min="2" max="2" width="18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</row>
    <row r="4">
      <c r="A4" s="5" t="s">
        <v>21</v>
      </c>
      <c r="B4" s="8">
        <v>584117.0</v>
      </c>
      <c r="C4" s="9">
        <f t="shared" ref="C4:C20" si="1">G4+J4+L4</f>
        <v>186864</v>
      </c>
      <c r="D4" s="10">
        <f t="shared" ref="D4:D20" si="2">B4-C4</f>
        <v>397253</v>
      </c>
      <c r="E4" s="11">
        <f t="shared" ref="E4:E20" si="3">D4/B4*100</f>
        <v>68.00914885</v>
      </c>
      <c r="F4" s="12">
        <f t="shared" ref="F4:F20" si="4">D4/K4</f>
        <v>704.3492908</v>
      </c>
      <c r="G4" s="13"/>
      <c r="H4" s="8">
        <v>607.0</v>
      </c>
      <c r="I4" s="8">
        <v>588.0</v>
      </c>
      <c r="J4" s="14">
        <f>250*K4</f>
        <v>141000</v>
      </c>
      <c r="K4" s="8">
        <v>564.0</v>
      </c>
      <c r="L4" s="15">
        <f t="shared" ref="L4:L20" si="5">I4*78</f>
        <v>45864</v>
      </c>
      <c r="M4" s="16">
        <f t="shared" ref="M4:M20" si="6">I4-K4-N4</f>
        <v>24</v>
      </c>
      <c r="N4" s="13"/>
      <c r="O4" s="17">
        <f t="shared" ref="O4:O20" si="7">M4/I4*100</f>
        <v>4.081632653</v>
      </c>
      <c r="P4" s="18">
        <f t="shared" ref="P4:P20" si="8">I4/H4*100</f>
        <v>96.86985173</v>
      </c>
      <c r="Q4" s="19">
        <f t="shared" ref="Q4:Q20" si="9">K4/I4*100</f>
        <v>95.91836735</v>
      </c>
      <c r="R4" s="12">
        <f t="shared" ref="R4:R20" si="10">G4/K4</f>
        <v>0</v>
      </c>
      <c r="S4" s="12">
        <f t="shared" ref="S4:S20" si="11">100-P4</f>
        <v>3.13014827</v>
      </c>
      <c r="T4" s="20">
        <f>B4/B21*100</f>
        <v>9.682073883</v>
      </c>
    </row>
    <row r="5">
      <c r="A5" s="5" t="s">
        <v>22</v>
      </c>
      <c r="B5" s="8">
        <v>23288.0</v>
      </c>
      <c r="C5" s="9">
        <f t="shared" si="1"/>
        <v>6936</v>
      </c>
      <c r="D5" s="10">
        <f t="shared" si="2"/>
        <v>16352</v>
      </c>
      <c r="E5" s="11">
        <f t="shared" si="3"/>
        <v>70.21642047</v>
      </c>
      <c r="F5" s="12">
        <f t="shared" si="4"/>
        <v>1362.666667</v>
      </c>
      <c r="G5" s="13"/>
      <c r="H5" s="8">
        <v>13.0</v>
      </c>
      <c r="I5" s="8">
        <v>12.0</v>
      </c>
      <c r="J5" s="14">
        <f>500*K5</f>
        <v>6000</v>
      </c>
      <c r="K5" s="8">
        <v>12.0</v>
      </c>
      <c r="L5" s="15">
        <f t="shared" si="5"/>
        <v>936</v>
      </c>
      <c r="M5" s="16">
        <f t="shared" si="6"/>
        <v>0</v>
      </c>
      <c r="N5" s="13"/>
      <c r="O5" s="17">
        <f t="shared" si="7"/>
        <v>0</v>
      </c>
      <c r="P5" s="18">
        <f t="shared" si="8"/>
        <v>92.30769231</v>
      </c>
      <c r="Q5" s="19">
        <f t="shared" si="9"/>
        <v>100</v>
      </c>
      <c r="R5" s="12">
        <f t="shared" si="10"/>
        <v>0</v>
      </c>
      <c r="S5" s="12">
        <f t="shared" si="11"/>
        <v>7.692307692</v>
      </c>
      <c r="T5" s="20">
        <f>B5/B21*100</f>
        <v>0.3860119404</v>
      </c>
    </row>
    <row r="6">
      <c r="A6" s="5" t="s">
        <v>23</v>
      </c>
      <c r="B6" s="8">
        <v>849827.0</v>
      </c>
      <c r="C6" s="21">
        <f t="shared" si="1"/>
        <v>297662</v>
      </c>
      <c r="D6" s="22">
        <f t="shared" si="2"/>
        <v>552165</v>
      </c>
      <c r="E6" s="11">
        <f t="shared" si="3"/>
        <v>64.97381232</v>
      </c>
      <c r="F6" s="12">
        <f t="shared" si="4"/>
        <v>802.565407</v>
      </c>
      <c r="G6" s="23"/>
      <c r="H6" s="8">
        <v>751.0</v>
      </c>
      <c r="I6" s="8">
        <v>729.0</v>
      </c>
      <c r="J6" s="14">
        <f>350*K6</f>
        <v>240800</v>
      </c>
      <c r="K6" s="8">
        <v>688.0</v>
      </c>
      <c r="L6" s="15">
        <f t="shared" si="5"/>
        <v>56862</v>
      </c>
      <c r="M6" s="16">
        <f t="shared" si="6"/>
        <v>41</v>
      </c>
      <c r="N6" s="13"/>
      <c r="O6" s="17">
        <f t="shared" si="7"/>
        <v>5.624142661</v>
      </c>
      <c r="P6" s="18">
        <f t="shared" si="8"/>
        <v>97.07057257</v>
      </c>
      <c r="Q6" s="19">
        <f t="shared" si="9"/>
        <v>94.37585734</v>
      </c>
      <c r="R6" s="12">
        <f t="shared" si="10"/>
        <v>0</v>
      </c>
      <c r="S6" s="12">
        <f t="shared" si="11"/>
        <v>2.92942743</v>
      </c>
      <c r="T6" s="20">
        <f>B6/B21*100</f>
        <v>14.08636934</v>
      </c>
    </row>
    <row r="7">
      <c r="A7" s="5" t="s">
        <v>24</v>
      </c>
      <c r="B7" s="8">
        <v>44780.0</v>
      </c>
      <c r="C7" s="21">
        <f t="shared" si="1"/>
        <v>14860</v>
      </c>
      <c r="D7" s="22">
        <f t="shared" si="2"/>
        <v>29920</v>
      </c>
      <c r="E7" s="11">
        <f t="shared" si="3"/>
        <v>66.81554265</v>
      </c>
      <c r="F7" s="12">
        <f t="shared" si="4"/>
        <v>1574.736842</v>
      </c>
      <c r="G7" s="23"/>
      <c r="H7" s="8">
        <v>20.0</v>
      </c>
      <c r="I7" s="8">
        <v>20.0</v>
      </c>
      <c r="J7" s="14">
        <f>700*K7</f>
        <v>13300</v>
      </c>
      <c r="K7" s="8">
        <v>19.0</v>
      </c>
      <c r="L7" s="15">
        <f t="shared" si="5"/>
        <v>1560</v>
      </c>
      <c r="M7" s="16">
        <f t="shared" si="6"/>
        <v>1</v>
      </c>
      <c r="N7" s="13"/>
      <c r="O7" s="17">
        <f t="shared" si="7"/>
        <v>5</v>
      </c>
      <c r="P7" s="18">
        <f t="shared" si="8"/>
        <v>100</v>
      </c>
      <c r="Q7" s="19">
        <f t="shared" si="9"/>
        <v>95</v>
      </c>
      <c r="R7" s="12">
        <f t="shared" si="10"/>
        <v>0</v>
      </c>
      <c r="S7" s="12">
        <f t="shared" si="11"/>
        <v>0</v>
      </c>
      <c r="T7" s="20">
        <f>B7/B21*100</f>
        <v>0.7422541519</v>
      </c>
    </row>
    <row r="8">
      <c r="A8" s="5" t="s">
        <v>25</v>
      </c>
      <c r="B8" s="8">
        <v>201900.0</v>
      </c>
      <c r="C8" s="9">
        <f t="shared" si="1"/>
        <v>88770</v>
      </c>
      <c r="D8" s="10">
        <f t="shared" si="2"/>
        <v>113130</v>
      </c>
      <c r="E8" s="11">
        <f t="shared" si="3"/>
        <v>56.03268945</v>
      </c>
      <c r="F8" s="12">
        <f t="shared" si="4"/>
        <v>992.3684211</v>
      </c>
      <c r="G8" s="13"/>
      <c r="H8" s="8">
        <v>122.0</v>
      </c>
      <c r="I8" s="8">
        <v>115.0</v>
      </c>
      <c r="J8" s="14">
        <f> 700*K8</f>
        <v>79800</v>
      </c>
      <c r="K8" s="8">
        <v>114.0</v>
      </c>
      <c r="L8" s="15">
        <f t="shared" si="5"/>
        <v>8970</v>
      </c>
      <c r="M8" s="16">
        <f t="shared" si="6"/>
        <v>1</v>
      </c>
      <c r="N8" s="13"/>
      <c r="O8" s="17">
        <f t="shared" si="7"/>
        <v>0.8695652174</v>
      </c>
      <c r="P8" s="18">
        <f t="shared" si="8"/>
        <v>94.26229508</v>
      </c>
      <c r="Q8" s="19">
        <f t="shared" si="9"/>
        <v>99.13043478</v>
      </c>
      <c r="R8" s="12">
        <f t="shared" si="10"/>
        <v>0</v>
      </c>
      <c r="S8" s="12">
        <f t="shared" si="11"/>
        <v>5.737704918</v>
      </c>
      <c r="T8" s="20">
        <f>B8/B21*100</f>
        <v>3.346608157</v>
      </c>
    </row>
    <row r="9">
      <c r="A9" s="5" t="s">
        <v>26</v>
      </c>
      <c r="B9" s="8">
        <v>131285.0</v>
      </c>
      <c r="C9" s="9">
        <f t="shared" si="1"/>
        <v>83024</v>
      </c>
      <c r="D9" s="10">
        <f t="shared" si="2"/>
        <v>48261</v>
      </c>
      <c r="E9" s="11">
        <f t="shared" si="3"/>
        <v>36.76048292</v>
      </c>
      <c r="F9" s="12">
        <f t="shared" si="4"/>
        <v>163.5966102</v>
      </c>
      <c r="G9" s="13"/>
      <c r="H9" s="8">
        <v>322.0</v>
      </c>
      <c r="I9" s="8">
        <v>308.0</v>
      </c>
      <c r="J9" s="14">
        <f>200*K9</f>
        <v>59000</v>
      </c>
      <c r="K9" s="8">
        <v>295.0</v>
      </c>
      <c r="L9" s="15">
        <f t="shared" si="5"/>
        <v>24024</v>
      </c>
      <c r="M9" s="16">
        <f t="shared" si="6"/>
        <v>13</v>
      </c>
      <c r="N9" s="13"/>
      <c r="O9" s="17">
        <f t="shared" si="7"/>
        <v>4.220779221</v>
      </c>
      <c r="P9" s="18">
        <f t="shared" si="8"/>
        <v>95.65217391</v>
      </c>
      <c r="Q9" s="19">
        <f t="shared" si="9"/>
        <v>95.77922078</v>
      </c>
      <c r="R9" s="12">
        <f t="shared" si="10"/>
        <v>0</v>
      </c>
      <c r="S9" s="12">
        <f t="shared" si="11"/>
        <v>4.347826087</v>
      </c>
      <c r="T9" s="20">
        <f>B9/B21*100</f>
        <v>2.176124081</v>
      </c>
    </row>
    <row r="10">
      <c r="A10" s="5" t="s">
        <v>27</v>
      </c>
      <c r="B10" s="8">
        <v>51303.0</v>
      </c>
      <c r="C10" s="9">
        <f t="shared" si="1"/>
        <v>29236</v>
      </c>
      <c r="D10" s="10">
        <f t="shared" si="2"/>
        <v>22067</v>
      </c>
      <c r="E10" s="11">
        <f t="shared" si="3"/>
        <v>43.01307916</v>
      </c>
      <c r="F10" s="12">
        <f t="shared" si="4"/>
        <v>361.7540984</v>
      </c>
      <c r="G10" s="13"/>
      <c r="H10" s="8">
        <v>66.0</v>
      </c>
      <c r="I10" s="8">
        <v>62.0</v>
      </c>
      <c r="J10" s="14">
        <f>400*K10</f>
        <v>24400</v>
      </c>
      <c r="K10" s="8">
        <v>61.0</v>
      </c>
      <c r="L10" s="15">
        <f t="shared" si="5"/>
        <v>4836</v>
      </c>
      <c r="M10" s="16">
        <f t="shared" si="6"/>
        <v>1</v>
      </c>
      <c r="N10" s="13"/>
      <c r="O10" s="17">
        <f t="shared" si="7"/>
        <v>1.612903226</v>
      </c>
      <c r="P10" s="18">
        <f t="shared" si="8"/>
        <v>93.93939394</v>
      </c>
      <c r="Q10" s="19">
        <f t="shared" si="9"/>
        <v>98.38709677</v>
      </c>
      <c r="R10" s="12">
        <f t="shared" si="10"/>
        <v>0</v>
      </c>
      <c r="S10" s="12">
        <f t="shared" si="11"/>
        <v>6.060606061</v>
      </c>
      <c r="T10" s="20">
        <f>B10/B21*100</f>
        <v>0.8503766136</v>
      </c>
    </row>
    <row r="11">
      <c r="A11" s="5" t="s">
        <v>28</v>
      </c>
      <c r="B11" s="8">
        <v>74759.0</v>
      </c>
      <c r="C11" s="9">
        <f t="shared" si="1"/>
        <v>24506</v>
      </c>
      <c r="D11" s="10">
        <f t="shared" si="2"/>
        <v>50253</v>
      </c>
      <c r="E11" s="11">
        <f t="shared" si="3"/>
        <v>67.22000027</v>
      </c>
      <c r="F11" s="12">
        <f t="shared" si="4"/>
        <v>679.0945946</v>
      </c>
      <c r="G11" s="13"/>
      <c r="H11" s="8">
        <v>83.0</v>
      </c>
      <c r="I11" s="8">
        <v>77.0</v>
      </c>
      <c r="J11" s="14">
        <f>250*K11</f>
        <v>18500</v>
      </c>
      <c r="K11" s="8">
        <v>74.0</v>
      </c>
      <c r="L11" s="15">
        <f t="shared" si="5"/>
        <v>6006</v>
      </c>
      <c r="M11" s="16">
        <f t="shared" si="6"/>
        <v>3</v>
      </c>
      <c r="N11" s="13"/>
      <c r="O11" s="17">
        <f t="shared" si="7"/>
        <v>3.896103896</v>
      </c>
      <c r="P11" s="18">
        <f t="shared" si="8"/>
        <v>92.77108434</v>
      </c>
      <c r="Q11" s="19">
        <f t="shared" si="9"/>
        <v>96.1038961</v>
      </c>
      <c r="R11" s="12">
        <f t="shared" si="10"/>
        <v>0</v>
      </c>
      <c r="S11" s="12">
        <f t="shared" si="11"/>
        <v>7.228915663</v>
      </c>
      <c r="T11" s="20">
        <f>B11/B21*100</f>
        <v>1.23917325</v>
      </c>
    </row>
    <row r="12">
      <c r="A12" s="5" t="s">
        <v>29</v>
      </c>
      <c r="B12" s="8">
        <v>908265.0</v>
      </c>
      <c r="C12" s="9">
        <f t="shared" si="1"/>
        <v>343618</v>
      </c>
      <c r="D12" s="10">
        <f t="shared" si="2"/>
        <v>564647</v>
      </c>
      <c r="E12" s="11">
        <f t="shared" si="3"/>
        <v>62.16764931</v>
      </c>
      <c r="F12" s="12">
        <f t="shared" si="4"/>
        <v>713.8394437</v>
      </c>
      <c r="G12" s="13"/>
      <c r="H12" s="8">
        <v>882.0</v>
      </c>
      <c r="I12" s="8">
        <v>856.0</v>
      </c>
      <c r="J12" s="14">
        <f>350*K12</f>
        <v>276850</v>
      </c>
      <c r="K12" s="8">
        <v>791.0</v>
      </c>
      <c r="L12" s="15">
        <f t="shared" si="5"/>
        <v>66768</v>
      </c>
      <c r="M12" s="16">
        <f t="shared" si="6"/>
        <v>65</v>
      </c>
      <c r="N12" s="13"/>
      <c r="O12" s="17">
        <f t="shared" si="7"/>
        <v>7.593457944</v>
      </c>
      <c r="P12" s="18">
        <f t="shared" si="8"/>
        <v>97.0521542</v>
      </c>
      <c r="Q12" s="19">
        <f t="shared" si="9"/>
        <v>92.40654206</v>
      </c>
      <c r="R12" s="12">
        <f t="shared" si="10"/>
        <v>0</v>
      </c>
      <c r="S12" s="12">
        <f t="shared" si="11"/>
        <v>2.947845805</v>
      </c>
      <c r="T12" s="20">
        <f>B12/B21*100</f>
        <v>15.05501267</v>
      </c>
    </row>
    <row r="13">
      <c r="A13" s="5" t="s">
        <v>30</v>
      </c>
      <c r="B13" s="8">
        <v>40608.0</v>
      </c>
      <c r="C13" s="9">
        <f t="shared" si="1"/>
        <v>14782</v>
      </c>
      <c r="D13" s="10">
        <f t="shared" si="2"/>
        <v>25826</v>
      </c>
      <c r="E13" s="11">
        <f t="shared" si="3"/>
        <v>63.59830575</v>
      </c>
      <c r="F13" s="12">
        <f t="shared" si="4"/>
        <v>1359.263158</v>
      </c>
      <c r="G13" s="13"/>
      <c r="H13" s="8">
        <v>20.0</v>
      </c>
      <c r="I13" s="8">
        <v>19.0</v>
      </c>
      <c r="J13" s="14">
        <f>700*K13</f>
        <v>13300</v>
      </c>
      <c r="K13" s="8">
        <v>19.0</v>
      </c>
      <c r="L13" s="15">
        <f t="shared" si="5"/>
        <v>1482</v>
      </c>
      <c r="M13" s="16">
        <f t="shared" si="6"/>
        <v>0</v>
      </c>
      <c r="N13" s="13"/>
      <c r="O13" s="17">
        <f t="shared" si="7"/>
        <v>0</v>
      </c>
      <c r="P13" s="18">
        <f t="shared" si="8"/>
        <v>95</v>
      </c>
      <c r="Q13" s="19">
        <f t="shared" si="9"/>
        <v>100</v>
      </c>
      <c r="R13" s="12">
        <f t="shared" si="10"/>
        <v>0</v>
      </c>
      <c r="S13" s="12">
        <f t="shared" si="11"/>
        <v>5</v>
      </c>
      <c r="T13" s="20">
        <f>B13/B21*100</f>
        <v>0.673100862</v>
      </c>
    </row>
    <row r="14">
      <c r="A14" s="5" t="s">
        <v>31</v>
      </c>
      <c r="B14" s="8">
        <v>113826.0</v>
      </c>
      <c r="C14" s="21">
        <f t="shared" si="1"/>
        <v>56612</v>
      </c>
      <c r="D14" s="22">
        <f t="shared" si="2"/>
        <v>57214</v>
      </c>
      <c r="E14" s="11">
        <f t="shared" si="3"/>
        <v>50.2644387</v>
      </c>
      <c r="F14" s="12">
        <f t="shared" si="4"/>
        <v>589.8350515</v>
      </c>
      <c r="G14" s="23"/>
      <c r="H14" s="8">
        <v>110.0</v>
      </c>
      <c r="I14" s="8">
        <v>104.0</v>
      </c>
      <c r="J14" s="14">
        <f>500*K14</f>
        <v>48500</v>
      </c>
      <c r="K14" s="8">
        <v>97.0</v>
      </c>
      <c r="L14" s="15">
        <f t="shared" si="5"/>
        <v>8112</v>
      </c>
      <c r="M14" s="16">
        <f t="shared" si="6"/>
        <v>7</v>
      </c>
      <c r="N14" s="13"/>
      <c r="O14" s="17">
        <f t="shared" si="7"/>
        <v>6.730769231</v>
      </c>
      <c r="P14" s="18">
        <f t="shared" si="8"/>
        <v>94.54545455</v>
      </c>
      <c r="Q14" s="19">
        <f t="shared" si="9"/>
        <v>93.26923077</v>
      </c>
      <c r="R14" s="12">
        <f t="shared" si="10"/>
        <v>0</v>
      </c>
      <c r="S14" s="12">
        <f t="shared" si="11"/>
        <v>5.454545455</v>
      </c>
      <c r="T14" s="20">
        <f>B14/B21*100</f>
        <v>1.886731154</v>
      </c>
    </row>
    <row r="15">
      <c r="A15" s="5" t="s">
        <v>32</v>
      </c>
      <c r="B15" s="8">
        <v>145054.0</v>
      </c>
      <c r="C15" s="21">
        <f t="shared" si="1"/>
        <v>64264</v>
      </c>
      <c r="D15" s="22">
        <f t="shared" si="2"/>
        <v>80790</v>
      </c>
      <c r="E15" s="11">
        <f t="shared" si="3"/>
        <v>55.69649923</v>
      </c>
      <c r="F15" s="12">
        <f t="shared" si="4"/>
        <v>985.2439024</v>
      </c>
      <c r="G15" s="23"/>
      <c r="H15" s="8">
        <v>102.0</v>
      </c>
      <c r="I15" s="8">
        <v>88.0</v>
      </c>
      <c r="J15" s="14">
        <f>700*K15</f>
        <v>57400</v>
      </c>
      <c r="K15" s="8">
        <v>82.0</v>
      </c>
      <c r="L15" s="15">
        <f t="shared" si="5"/>
        <v>6864</v>
      </c>
      <c r="M15" s="16">
        <f t="shared" si="6"/>
        <v>6</v>
      </c>
      <c r="N15" s="13"/>
      <c r="O15" s="17">
        <f t="shared" si="7"/>
        <v>6.818181818</v>
      </c>
      <c r="P15" s="18">
        <f t="shared" si="8"/>
        <v>86.2745098</v>
      </c>
      <c r="Q15" s="19">
        <f t="shared" si="9"/>
        <v>93.18181818</v>
      </c>
      <c r="R15" s="12">
        <f t="shared" si="10"/>
        <v>0</v>
      </c>
      <c r="S15" s="12">
        <f t="shared" si="11"/>
        <v>13.7254902</v>
      </c>
      <c r="T15" s="20">
        <f>B15/B21*100</f>
        <v>2.404353143</v>
      </c>
    </row>
    <row r="16">
      <c r="A16" s="5" t="s">
        <v>33</v>
      </c>
      <c r="B16" s="8">
        <v>2414163.0</v>
      </c>
      <c r="C16" s="21">
        <f t="shared" si="1"/>
        <v>1123392</v>
      </c>
      <c r="D16" s="22">
        <f t="shared" si="2"/>
        <v>1290771</v>
      </c>
      <c r="E16" s="11">
        <f t="shared" si="3"/>
        <v>53.4666052</v>
      </c>
      <c r="F16" s="12">
        <f t="shared" si="4"/>
        <v>1129.283465</v>
      </c>
      <c r="G16" s="23"/>
      <c r="H16" s="8">
        <v>1277.0</v>
      </c>
      <c r="I16" s="8">
        <v>1214.0</v>
      </c>
      <c r="J16" s="14">
        <f>900*K16</f>
        <v>1028700</v>
      </c>
      <c r="K16" s="8">
        <v>1143.0</v>
      </c>
      <c r="L16" s="15">
        <f t="shared" si="5"/>
        <v>94692</v>
      </c>
      <c r="M16" s="16">
        <f t="shared" si="6"/>
        <v>71</v>
      </c>
      <c r="N16" s="13"/>
      <c r="O16" s="17">
        <f t="shared" si="7"/>
        <v>5.848434926</v>
      </c>
      <c r="P16" s="18">
        <f t="shared" si="8"/>
        <v>95.06656226</v>
      </c>
      <c r="Q16" s="19">
        <f t="shared" si="9"/>
        <v>94.15156507</v>
      </c>
      <c r="R16" s="12">
        <f t="shared" si="10"/>
        <v>0</v>
      </c>
      <c r="S16" s="12">
        <f t="shared" si="11"/>
        <v>4.933437745</v>
      </c>
      <c r="T16" s="20">
        <f>B16/B21*100</f>
        <v>40.01613466</v>
      </c>
    </row>
    <row r="17">
      <c r="A17" s="5" t="s">
        <v>34</v>
      </c>
      <c r="B17" s="8">
        <v>147995.0</v>
      </c>
      <c r="C17" s="21">
        <f t="shared" si="1"/>
        <v>73476</v>
      </c>
      <c r="D17" s="22">
        <f t="shared" si="2"/>
        <v>74519</v>
      </c>
      <c r="E17" s="11">
        <f t="shared" si="3"/>
        <v>50.35237677</v>
      </c>
      <c r="F17" s="12">
        <f t="shared" si="4"/>
        <v>1910.74359</v>
      </c>
      <c r="G17" s="23"/>
      <c r="H17" s="8">
        <v>45.0</v>
      </c>
      <c r="I17" s="8">
        <v>42.0</v>
      </c>
      <c r="J17" s="14">
        <f>1800*K17</f>
        <v>70200</v>
      </c>
      <c r="K17" s="8">
        <v>39.0</v>
      </c>
      <c r="L17" s="15">
        <f t="shared" si="5"/>
        <v>3276</v>
      </c>
      <c r="M17" s="16">
        <f t="shared" si="6"/>
        <v>3</v>
      </c>
      <c r="N17" s="13"/>
      <c r="O17" s="17">
        <f t="shared" si="7"/>
        <v>7.142857143</v>
      </c>
      <c r="P17" s="18">
        <f t="shared" si="8"/>
        <v>93.33333333</v>
      </c>
      <c r="Q17" s="19">
        <f t="shared" si="9"/>
        <v>92.85714286</v>
      </c>
      <c r="R17" s="12">
        <f t="shared" si="10"/>
        <v>0</v>
      </c>
      <c r="S17" s="12">
        <f t="shared" si="11"/>
        <v>6.666666667</v>
      </c>
      <c r="T17" s="20">
        <f>B17/B21*100</f>
        <v>2.453101903</v>
      </c>
    </row>
    <row r="18">
      <c r="A18" s="5" t="s">
        <v>35</v>
      </c>
      <c r="B18" s="8">
        <v>142122.0</v>
      </c>
      <c r="C18" s="21">
        <f t="shared" si="1"/>
        <v>50648</v>
      </c>
      <c r="D18" s="22">
        <f t="shared" si="2"/>
        <v>91474</v>
      </c>
      <c r="E18" s="11">
        <f t="shared" si="3"/>
        <v>64.36301206</v>
      </c>
      <c r="F18" s="12">
        <f t="shared" si="4"/>
        <v>1407.292308</v>
      </c>
      <c r="G18" s="23"/>
      <c r="H18" s="8">
        <v>71.0</v>
      </c>
      <c r="I18" s="8">
        <v>66.0</v>
      </c>
      <c r="J18" s="14">
        <f>K18*700</f>
        <v>45500</v>
      </c>
      <c r="K18" s="8">
        <v>65.0</v>
      </c>
      <c r="L18" s="15">
        <f t="shared" si="5"/>
        <v>5148</v>
      </c>
      <c r="M18" s="16">
        <f t="shared" si="6"/>
        <v>1</v>
      </c>
      <c r="N18" s="13"/>
      <c r="O18" s="17">
        <f t="shared" si="7"/>
        <v>1.515151515</v>
      </c>
      <c r="P18" s="18">
        <f t="shared" si="8"/>
        <v>92.95774648</v>
      </c>
      <c r="Q18" s="19">
        <f t="shared" si="9"/>
        <v>98.48484848</v>
      </c>
      <c r="R18" s="12">
        <f t="shared" si="10"/>
        <v>0</v>
      </c>
      <c r="S18" s="12">
        <f t="shared" si="11"/>
        <v>7.042253521</v>
      </c>
      <c r="T18" s="20">
        <f>B18/B21*100</f>
        <v>2.355753564</v>
      </c>
    </row>
    <row r="19">
      <c r="A19" s="5" t="s">
        <v>36</v>
      </c>
      <c r="B19" s="8">
        <v>22508.0</v>
      </c>
      <c r="C19" s="21">
        <f t="shared" si="1"/>
        <v>7536</v>
      </c>
      <c r="D19" s="22">
        <f t="shared" si="2"/>
        <v>14972</v>
      </c>
      <c r="E19" s="11">
        <f t="shared" si="3"/>
        <v>66.51857117</v>
      </c>
      <c r="F19" s="12">
        <f t="shared" si="4"/>
        <v>1247.666667</v>
      </c>
      <c r="G19" s="23"/>
      <c r="H19" s="8">
        <v>13.0</v>
      </c>
      <c r="I19" s="8">
        <v>12.0</v>
      </c>
      <c r="J19" s="14">
        <f>K19*550</f>
        <v>6600</v>
      </c>
      <c r="K19" s="8">
        <v>12.0</v>
      </c>
      <c r="L19" s="15">
        <f t="shared" si="5"/>
        <v>936</v>
      </c>
      <c r="M19" s="16">
        <f t="shared" si="6"/>
        <v>0</v>
      </c>
      <c r="N19" s="13"/>
      <c r="O19" s="17">
        <f t="shared" si="7"/>
        <v>0</v>
      </c>
      <c r="P19" s="18">
        <f t="shared" si="8"/>
        <v>92.30769231</v>
      </c>
      <c r="Q19" s="19">
        <f t="shared" si="9"/>
        <v>100</v>
      </c>
      <c r="R19" s="12">
        <f t="shared" si="10"/>
        <v>0</v>
      </c>
      <c r="S19" s="12">
        <f t="shared" si="11"/>
        <v>7.692307692</v>
      </c>
      <c r="T19" s="20">
        <f>B19/B21*100</f>
        <v>0.3730829936</v>
      </c>
    </row>
    <row r="20">
      <c r="A20" s="5" t="s">
        <v>37</v>
      </c>
      <c r="B20" s="8">
        <v>137174.0</v>
      </c>
      <c r="C20" s="21">
        <f t="shared" si="1"/>
        <v>74507</v>
      </c>
      <c r="D20" s="22">
        <f t="shared" si="2"/>
        <v>62667</v>
      </c>
      <c r="E20" s="11">
        <f t="shared" si="3"/>
        <v>45.68431335</v>
      </c>
      <c r="F20" s="12">
        <f t="shared" si="4"/>
        <v>238.2775665</v>
      </c>
      <c r="G20" s="23"/>
      <c r="H20" s="8">
        <v>264.0</v>
      </c>
      <c r="I20" s="8">
        <v>264.0</v>
      </c>
      <c r="J20" s="14">
        <f>K20*205</f>
        <v>53915</v>
      </c>
      <c r="K20" s="8">
        <v>263.0</v>
      </c>
      <c r="L20" s="15">
        <f t="shared" si="5"/>
        <v>20592</v>
      </c>
      <c r="M20" s="16">
        <f t="shared" si="6"/>
        <v>1</v>
      </c>
      <c r="N20" s="13"/>
      <c r="O20" s="17">
        <f t="shared" si="7"/>
        <v>0.3787878788</v>
      </c>
      <c r="P20" s="18">
        <f t="shared" si="8"/>
        <v>100</v>
      </c>
      <c r="Q20" s="19">
        <f t="shared" si="9"/>
        <v>99.62121212</v>
      </c>
      <c r="R20" s="12">
        <f t="shared" si="10"/>
        <v>0</v>
      </c>
      <c r="S20" s="12">
        <f t="shared" si="11"/>
        <v>0</v>
      </c>
      <c r="T20" s="20">
        <f>B20/B21*100</f>
        <v>2.273737629</v>
      </c>
    </row>
    <row r="21">
      <c r="A21" s="24" t="s">
        <v>38</v>
      </c>
      <c r="B21" s="25">
        <f>SUM(B4:B20)</f>
        <v>6032974</v>
      </c>
      <c r="C21" s="25"/>
      <c r="D21" s="25">
        <f>SUM(D4:D20)</f>
        <v>3492281</v>
      </c>
      <c r="E21" s="26"/>
      <c r="F21" s="26"/>
      <c r="G21" s="27">
        <v>3500724.0</v>
      </c>
      <c r="H21" s="25">
        <f t="shared" ref="H21:N21" si="12">SUM(H4:H20)</f>
        <v>4768</v>
      </c>
      <c r="I21" s="25">
        <f t="shared" si="12"/>
        <v>4576</v>
      </c>
      <c r="J21" s="25">
        <f t="shared" si="12"/>
        <v>2183765</v>
      </c>
      <c r="K21" s="25">
        <f t="shared" si="12"/>
        <v>4338</v>
      </c>
      <c r="L21" s="25">
        <f t="shared" si="12"/>
        <v>356928</v>
      </c>
      <c r="M21" s="25">
        <f t="shared" si="12"/>
        <v>238</v>
      </c>
      <c r="N21" s="25">
        <f t="shared" si="12"/>
        <v>0</v>
      </c>
      <c r="O21" s="28"/>
      <c r="P21" s="28"/>
      <c r="Q21" s="28"/>
      <c r="R21" s="29">
        <f>SUM(R4:R20)</f>
        <v>0</v>
      </c>
      <c r="S21" s="28"/>
    </row>
    <row r="24">
      <c r="A24" s="30" t="s">
        <v>1</v>
      </c>
      <c r="B24" s="3"/>
      <c r="C24" s="3"/>
      <c r="D24" s="30" t="s">
        <v>39</v>
      </c>
      <c r="E24" s="3"/>
    </row>
    <row r="25">
      <c r="A25" s="31" t="s">
        <v>40</v>
      </c>
      <c r="B25" s="32">
        <f>B21</f>
        <v>6032974</v>
      </c>
      <c r="C25" s="3"/>
      <c r="D25" s="33" t="s">
        <v>41</v>
      </c>
      <c r="E25" s="34">
        <f>B26/K21</f>
        <v>503.4036422</v>
      </c>
    </row>
    <row r="26">
      <c r="A26" s="31" t="s">
        <v>41</v>
      </c>
      <c r="B26" s="32">
        <f>J21</f>
        <v>2183765</v>
      </c>
      <c r="C26" s="35">
        <v>0.36</v>
      </c>
      <c r="D26" s="33" t="s">
        <v>42</v>
      </c>
      <c r="E26" s="34">
        <f>B28/K21</f>
        <v>806.9903181</v>
      </c>
    </row>
    <row r="27">
      <c r="A27" s="31" t="s">
        <v>43</v>
      </c>
      <c r="B27" s="32">
        <f>L21</f>
        <v>356928</v>
      </c>
      <c r="C27" s="35">
        <v>0.06</v>
      </c>
      <c r="D27" s="33" t="s">
        <v>43</v>
      </c>
      <c r="E27" s="34">
        <f>L21/K21</f>
        <v>82.27939142</v>
      </c>
    </row>
    <row r="28">
      <c r="A28" s="31" t="s">
        <v>44</v>
      </c>
      <c r="B28" s="36">
        <f>G21</f>
        <v>3500724</v>
      </c>
      <c r="C28" s="35">
        <v>0.58</v>
      </c>
      <c r="D28" s="33" t="s">
        <v>45</v>
      </c>
      <c r="E28" s="34">
        <f>B25/K21</f>
        <v>1390.727063</v>
      </c>
    </row>
    <row r="29">
      <c r="A29" s="31" t="s">
        <v>46</v>
      </c>
      <c r="B29" s="36">
        <f>B25-(B26+B27+B28)</f>
        <v>-8443</v>
      </c>
      <c r="C29" s="37"/>
      <c r="D29" s="3"/>
      <c r="E29" s="3"/>
    </row>
    <row r="30">
      <c r="A30" s="31" t="s">
        <v>47</v>
      </c>
      <c r="B30" s="36"/>
      <c r="C30" s="3"/>
      <c r="D30" s="3"/>
      <c r="E30" s="3"/>
    </row>
    <row r="33">
      <c r="A33" s="1" t="s">
        <v>0</v>
      </c>
      <c r="B33" s="2" t="s">
        <v>48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8" t="s">
        <v>49</v>
      </c>
      <c r="B35" s="24" t="s">
        <v>3</v>
      </c>
      <c r="C35" s="24" t="s">
        <v>4</v>
      </c>
      <c r="D35" s="24" t="s">
        <v>5</v>
      </c>
      <c r="E35" s="39" t="s">
        <v>6</v>
      </c>
      <c r="F35" s="24" t="s">
        <v>7</v>
      </c>
      <c r="G35" s="24" t="s">
        <v>9</v>
      </c>
      <c r="H35" s="24" t="s">
        <v>11</v>
      </c>
      <c r="I35" s="24" t="s">
        <v>12</v>
      </c>
      <c r="J35" s="24" t="s">
        <v>50</v>
      </c>
      <c r="K35" s="24" t="s">
        <v>51</v>
      </c>
      <c r="L35" s="39" t="s">
        <v>16</v>
      </c>
      <c r="M35" s="24" t="s">
        <v>52</v>
      </c>
      <c r="N35" s="40" t="s">
        <v>53</v>
      </c>
      <c r="O35" s="3"/>
      <c r="P35" s="41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42" t="s">
        <v>21</v>
      </c>
      <c r="B36" s="43">
        <f>897486+37687.24+15175.92</f>
        <v>950349.16</v>
      </c>
      <c r="C36" s="44">
        <f t="shared" ref="C36:C50" si="13">K36+H36</f>
        <v>586466.44</v>
      </c>
      <c r="D36" s="45">
        <f t="shared" ref="D36:D51" si="14">B36-C36</f>
        <v>363882.72</v>
      </c>
      <c r="E36" s="11">
        <f t="shared" ref="E36:E50" si="15">D36/B36*100</f>
        <v>38.28937146</v>
      </c>
      <c r="F36" s="46">
        <f t="shared" ref="F36:F50" si="16">D36/I36</f>
        <v>378.6500728</v>
      </c>
      <c r="G36" s="47">
        <f>1018+37+10</f>
        <v>1065</v>
      </c>
      <c r="H36" s="14">
        <f>250*I36</f>
        <v>240250</v>
      </c>
      <c r="I36" s="48">
        <f>909+32+20</f>
        <v>961</v>
      </c>
      <c r="J36" s="14">
        <f t="shared" ref="J36:J50" si="17">G36-I36</f>
        <v>104</v>
      </c>
      <c r="K36" s="49">
        <f>330908.99+13077.61+2229.84</f>
        <v>346216.44</v>
      </c>
      <c r="L36" s="50">
        <f t="shared" ref="L36:L50" si="18">J36/G36*100</f>
        <v>9.765258216</v>
      </c>
      <c r="M36" s="51"/>
      <c r="N36" s="52">
        <f>J36*999</f>
        <v>103896</v>
      </c>
      <c r="O36" s="53" t="str">
        <f t="shared" ref="O36:O50" si="19">B36/M36</f>
        <v>#DIV/0!</v>
      </c>
      <c r="P36" s="54">
        <f>B36/B51*100</f>
        <v>33.6512253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2" t="s">
        <v>23</v>
      </c>
      <c r="B37" s="43">
        <f>682999+28950.52</f>
        <v>711949.52</v>
      </c>
      <c r="C37" s="44">
        <f t="shared" si="13"/>
        <v>345782.34</v>
      </c>
      <c r="D37" s="45">
        <f t="shared" si="14"/>
        <v>366167.18</v>
      </c>
      <c r="E37" s="11">
        <f t="shared" si="15"/>
        <v>51.43162116</v>
      </c>
      <c r="F37" s="46">
        <f t="shared" si="16"/>
        <v>617.482597</v>
      </c>
      <c r="G37" s="47">
        <f>608+26</f>
        <v>634</v>
      </c>
      <c r="H37" s="14">
        <f>350*I37</f>
        <v>207550</v>
      </c>
      <c r="I37" s="48">
        <f>571+22</f>
        <v>593</v>
      </c>
      <c r="J37" s="14">
        <f t="shared" si="17"/>
        <v>41</v>
      </c>
      <c r="K37" s="49">
        <f>128290.96 + 9941.38</f>
        <v>138232.34</v>
      </c>
      <c r="L37" s="50">
        <f t="shared" si="18"/>
        <v>6.466876972</v>
      </c>
      <c r="M37" s="51">
        <v>0.0</v>
      </c>
      <c r="N37" s="52">
        <f>J37*1119</f>
        <v>45879</v>
      </c>
      <c r="O37" s="53" t="str">
        <f t="shared" si="19"/>
        <v>#DIV/0!</v>
      </c>
      <c r="P37" s="54">
        <f>B37/B51*100</f>
        <v>25.20965421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42" t="s">
        <v>25</v>
      </c>
      <c r="B38" s="43">
        <f>8495</f>
        <v>8495</v>
      </c>
      <c r="C38" s="44">
        <f t="shared" si="13"/>
        <v>5781.95</v>
      </c>
      <c r="D38" s="45">
        <f t="shared" si="14"/>
        <v>2713.05</v>
      </c>
      <c r="E38" s="11">
        <f t="shared" si="15"/>
        <v>31.93702178</v>
      </c>
      <c r="F38" s="46">
        <f t="shared" si="16"/>
        <v>542.61</v>
      </c>
      <c r="G38" s="47">
        <v>5.0</v>
      </c>
      <c r="H38" s="14">
        <f> 900*I38</f>
        <v>4500</v>
      </c>
      <c r="I38" s="48">
        <v>5.0</v>
      </c>
      <c r="J38" s="14">
        <f t="shared" si="17"/>
        <v>0</v>
      </c>
      <c r="K38" s="49">
        <f>1281.95</f>
        <v>1281.95</v>
      </c>
      <c r="L38" s="50">
        <f t="shared" si="18"/>
        <v>0</v>
      </c>
      <c r="M38" s="51">
        <v>0.0</v>
      </c>
      <c r="N38" s="52">
        <f>J38*1799</f>
        <v>0</v>
      </c>
      <c r="O38" s="53" t="str">
        <f t="shared" si="19"/>
        <v>#DIV/0!</v>
      </c>
      <c r="P38" s="54">
        <f>B38/B51*100</f>
        <v>0.3008022429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42" t="s">
        <v>26</v>
      </c>
      <c r="B39" s="43">
        <f>401764+7122.92</f>
        <v>408886.92</v>
      </c>
      <c r="C39" s="44">
        <f t="shared" si="13"/>
        <v>351973.5</v>
      </c>
      <c r="D39" s="45">
        <f t="shared" si="14"/>
        <v>56913.42</v>
      </c>
      <c r="E39" s="11">
        <f t="shared" si="15"/>
        <v>13.91910996</v>
      </c>
      <c r="F39" s="46">
        <f t="shared" si="16"/>
        <v>65.87201389</v>
      </c>
      <c r="G39" s="47">
        <f>914+11</f>
        <v>925</v>
      </c>
      <c r="H39" s="14">
        <f>220*I39</f>
        <v>190080</v>
      </c>
      <c r="I39" s="48">
        <f>11+853</f>
        <v>864</v>
      </c>
      <c r="J39" s="14">
        <f t="shared" si="17"/>
        <v>61</v>
      </c>
      <c r="K39" s="49">
        <f>160673.89 + 1219.61 </f>
        <v>161893.5</v>
      </c>
      <c r="L39" s="50">
        <f t="shared" si="18"/>
        <v>6.594594595</v>
      </c>
      <c r="M39" s="51">
        <v>0.0</v>
      </c>
      <c r="N39" s="52">
        <f>J39*499</f>
        <v>30439</v>
      </c>
      <c r="O39" s="53" t="str">
        <f t="shared" si="19"/>
        <v>#DIV/0!</v>
      </c>
      <c r="P39" s="54">
        <f>B39/B51*100</f>
        <v>14.47841114</v>
      </c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2" t="s">
        <v>28</v>
      </c>
      <c r="B40" s="43">
        <f>5836.96+52653</f>
        <v>58489.96</v>
      </c>
      <c r="C40" s="44">
        <f t="shared" si="13"/>
        <v>57243.72</v>
      </c>
      <c r="D40" s="45">
        <f t="shared" si="14"/>
        <v>1246.24</v>
      </c>
      <c r="E40" s="11">
        <f t="shared" si="15"/>
        <v>2.130690464</v>
      </c>
      <c r="F40" s="46">
        <f t="shared" si="16"/>
        <v>19.4725</v>
      </c>
      <c r="G40" s="47">
        <f>67+10</f>
        <v>77</v>
      </c>
      <c r="H40" s="14">
        <f>250*I40</f>
        <v>16000</v>
      </c>
      <c r="I40" s="48">
        <f>59+5</f>
        <v>64</v>
      </c>
      <c r="J40" s="14">
        <f t="shared" si="17"/>
        <v>13</v>
      </c>
      <c r="K40" s="49">
        <f>9362.66+31881.06</f>
        <v>41243.72</v>
      </c>
      <c r="L40" s="50">
        <f t="shared" si="18"/>
        <v>16.88311688</v>
      </c>
      <c r="M40" s="51">
        <v>0.0</v>
      </c>
      <c r="N40" s="52">
        <f>J40*1049</f>
        <v>13637</v>
      </c>
      <c r="O40" s="53" t="str">
        <f t="shared" si="19"/>
        <v>#DIV/0!</v>
      </c>
      <c r="P40" s="54">
        <f>B40/B51*100</f>
        <v>2.071090189</v>
      </c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42" t="s">
        <v>29</v>
      </c>
      <c r="B41" s="43">
        <f>8994+224817</f>
        <v>233811</v>
      </c>
      <c r="C41" s="44">
        <f t="shared" si="13"/>
        <v>153158.13</v>
      </c>
      <c r="D41" s="45">
        <f t="shared" si="14"/>
        <v>80652.87</v>
      </c>
      <c r="E41" s="11">
        <f t="shared" si="15"/>
        <v>34.49489973</v>
      </c>
      <c r="F41" s="46">
        <f t="shared" si="16"/>
        <v>389.6273913</v>
      </c>
      <c r="G41" s="47">
        <f>245+7</f>
        <v>252</v>
      </c>
      <c r="H41" s="14">
        <f>320*I41</f>
        <v>66240</v>
      </c>
      <c r="I41" s="48">
        <f>201+6</f>
        <v>207</v>
      </c>
      <c r="J41" s="14">
        <f t="shared" si="17"/>
        <v>45</v>
      </c>
      <c r="K41" s="49">
        <f>2992.3+83925.83 </f>
        <v>86918.13</v>
      </c>
      <c r="L41" s="50">
        <f t="shared" si="18"/>
        <v>17.85714286</v>
      </c>
      <c r="M41" s="55">
        <v>0.0</v>
      </c>
      <c r="N41" s="52">
        <f>J41*1249</f>
        <v>56205</v>
      </c>
      <c r="O41" s="53" t="str">
        <f t="shared" si="19"/>
        <v>#DIV/0!</v>
      </c>
      <c r="P41" s="54">
        <f>B41/B51*100</f>
        <v>8.279090433</v>
      </c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42" t="s">
        <v>31</v>
      </c>
      <c r="B42" s="43">
        <f>10054.48+57064</f>
        <v>67118.48</v>
      </c>
      <c r="C42" s="44">
        <f t="shared" si="13"/>
        <v>58514.81</v>
      </c>
      <c r="D42" s="45">
        <f t="shared" si="14"/>
        <v>8603.67</v>
      </c>
      <c r="E42" s="11">
        <f t="shared" si="15"/>
        <v>12.81863058</v>
      </c>
      <c r="F42" s="46">
        <f t="shared" si="16"/>
        <v>191.1926667</v>
      </c>
      <c r="G42" s="47">
        <f>37+10</f>
        <v>47</v>
      </c>
      <c r="H42" s="14">
        <f>500*I42</f>
        <v>22500</v>
      </c>
      <c r="I42" s="48">
        <f>37+8</f>
        <v>45</v>
      </c>
      <c r="J42" s="14">
        <f t="shared" si="17"/>
        <v>2</v>
      </c>
      <c r="K42" s="49">
        <f>28226.67 + 7788.14</f>
        <v>36014.81</v>
      </c>
      <c r="L42" s="50">
        <f t="shared" si="18"/>
        <v>4.255319149</v>
      </c>
      <c r="M42" s="51">
        <v>0.0</v>
      </c>
      <c r="N42" s="52">
        <f>J42*1349</f>
        <v>2698</v>
      </c>
      <c r="O42" s="53" t="str">
        <f t="shared" si="19"/>
        <v>#DIV/0!</v>
      </c>
      <c r="P42" s="54">
        <f>B42/B51*100</f>
        <v>2.376620286</v>
      </c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42" t="s">
        <v>32</v>
      </c>
      <c r="B43" s="43">
        <v>0.0</v>
      </c>
      <c r="C43" s="44">
        <f t="shared" si="13"/>
        <v>0</v>
      </c>
      <c r="D43" s="45">
        <f t="shared" si="14"/>
        <v>0</v>
      </c>
      <c r="E43" s="11" t="str">
        <f t="shared" si="15"/>
        <v>#DIV/0!</v>
      </c>
      <c r="F43" s="46" t="str">
        <f t="shared" si="16"/>
        <v>#DIV/0!</v>
      </c>
      <c r="G43" s="47">
        <v>0.0</v>
      </c>
      <c r="H43" s="14">
        <f>800*I43</f>
        <v>0</v>
      </c>
      <c r="I43" s="48">
        <v>0.0</v>
      </c>
      <c r="J43" s="14">
        <f t="shared" si="17"/>
        <v>0</v>
      </c>
      <c r="K43" s="49">
        <v>0.0</v>
      </c>
      <c r="L43" s="50" t="str">
        <f t="shared" si="18"/>
        <v>#DIV/0!</v>
      </c>
      <c r="M43" s="51">
        <v>0.0</v>
      </c>
      <c r="N43" s="52">
        <f>J43*1899</f>
        <v>0</v>
      </c>
      <c r="O43" s="53" t="str">
        <f t="shared" si="19"/>
        <v>#DIV/0!</v>
      </c>
      <c r="P43" s="54">
        <f>B43/B51*100</f>
        <v>0</v>
      </c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2" t="s">
        <v>33</v>
      </c>
      <c r="B44" s="43">
        <f>173817+119322.96</f>
        <v>293139.96</v>
      </c>
      <c r="C44" s="44">
        <f t="shared" si="13"/>
        <v>197022.87</v>
      </c>
      <c r="D44" s="45">
        <f t="shared" si="14"/>
        <v>96117.09</v>
      </c>
      <c r="E44" s="11">
        <f t="shared" si="15"/>
        <v>32.78880505</v>
      </c>
      <c r="F44" s="46">
        <f t="shared" si="16"/>
        <v>691.4898561</v>
      </c>
      <c r="G44" s="47">
        <f>100+62</f>
        <v>162</v>
      </c>
      <c r="H44" s="14">
        <f>1000*I44</f>
        <v>139000</v>
      </c>
      <c r="I44" s="48">
        <f>84+55</f>
        <v>139</v>
      </c>
      <c r="J44" s="14">
        <f t="shared" si="17"/>
        <v>23</v>
      </c>
      <c r="K44" s="49">
        <f>33042.98+24979.89</f>
        <v>58022.87</v>
      </c>
      <c r="L44" s="50">
        <f t="shared" si="18"/>
        <v>14.19753086</v>
      </c>
      <c r="M44" s="51">
        <v>0.0</v>
      </c>
      <c r="N44" s="52">
        <f>J44*1999</f>
        <v>45977</v>
      </c>
      <c r="O44" s="53" t="str">
        <f t="shared" si="19"/>
        <v>#DIV/0!</v>
      </c>
      <c r="P44" s="54">
        <f>B44/B51*100</f>
        <v>10.37988905</v>
      </c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42" t="s">
        <v>54</v>
      </c>
      <c r="B45" s="43">
        <f>50716</f>
        <v>50716</v>
      </c>
      <c r="C45" s="44">
        <f t="shared" si="13"/>
        <v>41926.86</v>
      </c>
      <c r="D45" s="45">
        <f t="shared" si="14"/>
        <v>8789.14</v>
      </c>
      <c r="E45" s="11">
        <f t="shared" si="15"/>
        <v>17.33011278</v>
      </c>
      <c r="F45" s="46">
        <f t="shared" si="16"/>
        <v>101.0245977</v>
      </c>
      <c r="G45" s="47">
        <v>92.0</v>
      </c>
      <c r="H45" s="14">
        <f>200*I45</f>
        <v>17400</v>
      </c>
      <c r="I45" s="48">
        <v>87.0</v>
      </c>
      <c r="J45" s="14">
        <f t="shared" si="17"/>
        <v>5</v>
      </c>
      <c r="K45" s="49">
        <f>24526.86</f>
        <v>24526.86</v>
      </c>
      <c r="L45" s="50">
        <f t="shared" si="18"/>
        <v>5.434782609</v>
      </c>
      <c r="M45" s="51">
        <v>0.0</v>
      </c>
      <c r="N45" s="52">
        <f>J45*599</f>
        <v>2995</v>
      </c>
      <c r="O45" s="53" t="str">
        <f t="shared" si="19"/>
        <v>#DIV/0!</v>
      </c>
      <c r="P45" s="54">
        <f>B45/B51*100</f>
        <v>1.795819488</v>
      </c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42" t="s">
        <v>55</v>
      </c>
      <c r="B46" s="43">
        <v>0.0</v>
      </c>
      <c r="C46" s="44">
        <f t="shared" si="13"/>
        <v>0</v>
      </c>
      <c r="D46" s="45">
        <f t="shared" si="14"/>
        <v>0</v>
      </c>
      <c r="E46" s="11" t="str">
        <f t="shared" si="15"/>
        <v>#DIV/0!</v>
      </c>
      <c r="F46" s="46" t="str">
        <f t="shared" si="16"/>
        <v>#DIV/0!</v>
      </c>
      <c r="G46" s="47">
        <v>0.0</v>
      </c>
      <c r="H46" s="14">
        <f>(270+220)*I46</f>
        <v>0</v>
      </c>
      <c r="I46" s="48">
        <v>0.0</v>
      </c>
      <c r="J46" s="14">
        <f t="shared" si="17"/>
        <v>0</v>
      </c>
      <c r="K46" s="49">
        <v>0.0</v>
      </c>
      <c r="L46" s="50" t="str">
        <f t="shared" si="18"/>
        <v>#DIV/0!</v>
      </c>
      <c r="M46" s="51">
        <v>0.0</v>
      </c>
      <c r="N46" s="56"/>
      <c r="O46" s="53" t="str">
        <f t="shared" si="19"/>
        <v>#DIV/0!</v>
      </c>
      <c r="P46" s="54">
        <f>B46/B51*100</f>
        <v>0</v>
      </c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42" t="s">
        <v>56</v>
      </c>
      <c r="B47" s="43">
        <f>24788</f>
        <v>24788</v>
      </c>
      <c r="C47" s="44">
        <f t="shared" si="13"/>
        <v>11072.68</v>
      </c>
      <c r="D47" s="45">
        <f t="shared" si="14"/>
        <v>13715.32</v>
      </c>
      <c r="E47" s="11">
        <f t="shared" si="15"/>
        <v>55.33048249</v>
      </c>
      <c r="F47" s="46">
        <f t="shared" si="16"/>
        <v>1142.943333</v>
      </c>
      <c r="G47" s="47">
        <v>12.0</v>
      </c>
      <c r="H47" s="14">
        <f>(270+350)*I47</f>
        <v>7440</v>
      </c>
      <c r="I47" s="48">
        <v>12.0</v>
      </c>
      <c r="J47" s="14">
        <f t="shared" si="17"/>
        <v>0</v>
      </c>
      <c r="K47" s="49">
        <f>3632.68</f>
        <v>3632.68</v>
      </c>
      <c r="L47" s="50">
        <f t="shared" si="18"/>
        <v>0</v>
      </c>
      <c r="M47" s="51">
        <v>0.0</v>
      </c>
      <c r="N47" s="52">
        <f>J47*2199</f>
        <v>0</v>
      </c>
      <c r="O47" s="53" t="str">
        <f t="shared" si="19"/>
        <v>#DIV/0!</v>
      </c>
      <c r="P47" s="54">
        <f>B47/B51*100</f>
        <v>0.8777264271</v>
      </c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42" t="s">
        <v>57</v>
      </c>
      <c r="B48" s="43">
        <f>10384.29</f>
        <v>10384.29</v>
      </c>
      <c r="C48" s="44">
        <f t="shared" si="13"/>
        <v>5746.73</v>
      </c>
      <c r="D48" s="45">
        <f t="shared" si="14"/>
        <v>4637.56</v>
      </c>
      <c r="E48" s="11">
        <f t="shared" si="15"/>
        <v>44.65938451</v>
      </c>
      <c r="F48" s="46">
        <f t="shared" si="16"/>
        <v>772.9266667</v>
      </c>
      <c r="G48" s="47">
        <v>8.0</v>
      </c>
      <c r="H48" s="14">
        <f>(270+320)*I48</f>
        <v>3540</v>
      </c>
      <c r="I48" s="48">
        <v>6.0</v>
      </c>
      <c r="J48" s="14">
        <f t="shared" si="17"/>
        <v>2</v>
      </c>
      <c r="K48" s="49">
        <f>2206.73</f>
        <v>2206.73</v>
      </c>
      <c r="L48" s="50">
        <f t="shared" si="18"/>
        <v>25</v>
      </c>
      <c r="M48" s="51">
        <v>0.0</v>
      </c>
      <c r="N48" s="52">
        <f>J48*999</f>
        <v>1998</v>
      </c>
      <c r="O48" s="53" t="str">
        <f t="shared" si="19"/>
        <v>#DIV/0!</v>
      </c>
      <c r="P48" s="54">
        <f>B48/B51*100</f>
        <v>0.3677007326</v>
      </c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42" t="s">
        <v>58</v>
      </c>
      <c r="B49" s="43">
        <f>5986.29</f>
        <v>5986.29</v>
      </c>
      <c r="C49" s="44">
        <f t="shared" si="13"/>
        <v>10052.55</v>
      </c>
      <c r="D49" s="45">
        <f t="shared" si="14"/>
        <v>-4066.26</v>
      </c>
      <c r="E49" s="11">
        <f t="shared" si="15"/>
        <v>-67.92621139</v>
      </c>
      <c r="F49" s="46">
        <f t="shared" si="16"/>
        <v>-1355.42</v>
      </c>
      <c r="G49" s="47">
        <v>6.0</v>
      </c>
      <c r="H49" s="14">
        <f>(350+220)*I49</f>
        <v>1710</v>
      </c>
      <c r="I49" s="48">
        <v>3.0</v>
      </c>
      <c r="J49" s="14">
        <f t="shared" si="17"/>
        <v>3</v>
      </c>
      <c r="K49" s="49">
        <f>8342.55 
</f>
        <v>8342.55</v>
      </c>
      <c r="L49" s="50">
        <f t="shared" si="18"/>
        <v>50</v>
      </c>
      <c r="M49" s="51">
        <v>0.0</v>
      </c>
      <c r="N49" s="52">
        <f>J49*1499</f>
        <v>4497</v>
      </c>
      <c r="O49" s="53" t="str">
        <f t="shared" si="19"/>
        <v>#DIV/0!</v>
      </c>
      <c r="P49" s="54">
        <f>B49/B51*100</f>
        <v>0.2119705072</v>
      </c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42" t="s">
        <v>59</v>
      </c>
      <c r="B50" s="43">
        <v>0.0</v>
      </c>
      <c r="C50" s="44">
        <f t="shared" si="13"/>
        <v>0</v>
      </c>
      <c r="D50" s="45">
        <f t="shared" si="14"/>
        <v>0</v>
      </c>
      <c r="E50" s="11" t="str">
        <f t="shared" si="15"/>
        <v>#DIV/0!</v>
      </c>
      <c r="F50" s="46" t="str">
        <f t="shared" si="16"/>
        <v>#DIV/0!</v>
      </c>
      <c r="G50" s="47">
        <v>0.0</v>
      </c>
      <c r="H50" s="14">
        <f>(350+320)*I50</f>
        <v>0</v>
      </c>
      <c r="I50" s="48">
        <v>0.0</v>
      </c>
      <c r="J50" s="14">
        <f t="shared" si="17"/>
        <v>0</v>
      </c>
      <c r="K50" s="49">
        <v>0.0</v>
      </c>
      <c r="L50" s="50" t="str">
        <f t="shared" si="18"/>
        <v>#DIV/0!</v>
      </c>
      <c r="M50" s="51">
        <v>0.0</v>
      </c>
      <c r="N50" s="52">
        <f>J50*999</f>
        <v>0</v>
      </c>
      <c r="O50" s="53" t="str">
        <f t="shared" si="19"/>
        <v>#DIV/0!</v>
      </c>
      <c r="P50" s="54">
        <f>B50/B51*100</f>
        <v>0</v>
      </c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38</v>
      </c>
      <c r="B51" s="41">
        <f t="shared" ref="B51:C51" si="20">SUM(B36:B50)</f>
        <v>2824114.58</v>
      </c>
      <c r="C51" s="41">
        <f t="shared" si="20"/>
        <v>1824742.58</v>
      </c>
      <c r="D51" s="41">
        <f t="shared" si="14"/>
        <v>999372</v>
      </c>
      <c r="E51" s="3"/>
      <c r="F51" s="3"/>
      <c r="G51" s="41">
        <f>SUM(G34:G50)</f>
        <v>3285</v>
      </c>
      <c r="H51" s="41">
        <f>SUM(H36:H50)</f>
        <v>916210</v>
      </c>
      <c r="I51" s="41">
        <f>SUM(I34:I50)</f>
        <v>2986</v>
      </c>
      <c r="J51" s="3"/>
      <c r="K51" s="57">
        <f>SUM(K36:K50)</f>
        <v>908532.58</v>
      </c>
      <c r="L51" s="3"/>
      <c r="M51" s="41">
        <f>SUM(M34:M50)</f>
        <v>0</v>
      </c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K52" s="37">
        <f>K51-300000</f>
        <v>608532.58</v>
      </c>
    </row>
    <row r="53">
      <c r="K53" s="58">
        <f>K51-K52</f>
        <v>300000</v>
      </c>
    </row>
    <row r="54">
      <c r="A54" s="31" t="s">
        <v>40</v>
      </c>
      <c r="B54" s="36">
        <f>B51</f>
        <v>2824114.58</v>
      </c>
      <c r="C54" s="3"/>
      <c r="D54" s="3"/>
      <c r="E54" s="3"/>
      <c r="F54" s="3"/>
      <c r="K54" s="58">
        <v>459232.57999999996</v>
      </c>
    </row>
    <row r="55">
      <c r="A55" s="31" t="s">
        <v>41</v>
      </c>
      <c r="B55" s="36">
        <f>H51</f>
        <v>916210</v>
      </c>
      <c r="C55" s="3"/>
      <c r="D55" s="30" t="s">
        <v>39</v>
      </c>
      <c r="E55" s="3"/>
      <c r="F55" s="3"/>
    </row>
    <row r="56">
      <c r="A56" s="31" t="s">
        <v>60</v>
      </c>
      <c r="B56" s="36">
        <f>K54</f>
        <v>459232.58</v>
      </c>
      <c r="C56" s="3"/>
      <c r="D56" s="33" t="s">
        <v>41</v>
      </c>
      <c r="E56" s="34">
        <f>B55/I51</f>
        <v>306.8352311</v>
      </c>
      <c r="F56" s="59">
        <v>0.39</v>
      </c>
    </row>
    <row r="57">
      <c r="A57" s="31" t="s">
        <v>61</v>
      </c>
      <c r="B57" s="36">
        <v>149300.0</v>
      </c>
      <c r="C57" s="3"/>
      <c r="D57" s="33"/>
      <c r="E57" s="34"/>
      <c r="F57" s="59"/>
      <c r="H57" s="60">
        <f>50*I51</f>
        <v>149300</v>
      </c>
    </row>
    <row r="58">
      <c r="A58" s="31" t="s">
        <v>44</v>
      </c>
      <c r="B58" s="36">
        <f>K53</f>
        <v>300000</v>
      </c>
      <c r="C58" s="3"/>
      <c r="D58" s="33" t="s">
        <v>42</v>
      </c>
      <c r="E58" s="34">
        <f>B58/I51</f>
        <v>100.4688547</v>
      </c>
      <c r="F58" s="59">
        <v>0.1</v>
      </c>
      <c r="H58" s="58">
        <f>B56-H57</f>
        <v>309932.58</v>
      </c>
    </row>
    <row r="59">
      <c r="A59" s="31" t="s">
        <v>62</v>
      </c>
      <c r="B59" s="36">
        <f>B54-SUM(B55:B58)</f>
        <v>999372</v>
      </c>
      <c r="C59" s="3"/>
      <c r="D59" s="33" t="s">
        <v>63</v>
      </c>
      <c r="E59" s="34">
        <f>B56/I51</f>
        <v>153.7952378</v>
      </c>
      <c r="F59" s="61">
        <v>0.146</v>
      </c>
    </row>
    <row r="60">
      <c r="A60" s="31" t="s">
        <v>47</v>
      </c>
      <c r="B60" s="62">
        <f>B59/B54*100</f>
        <v>35.38709113</v>
      </c>
      <c r="C60" s="3"/>
      <c r="D60" s="33" t="s">
        <v>45</v>
      </c>
      <c r="E60" s="34">
        <f>B54/I51</f>
        <v>945.7851909</v>
      </c>
      <c r="F60" s="3"/>
    </row>
    <row r="66">
      <c r="A66" s="1" t="s">
        <v>0</v>
      </c>
      <c r="B66" s="2" t="s">
        <v>64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>
      <c r="A68" s="38" t="s">
        <v>49</v>
      </c>
      <c r="B68" s="24" t="s">
        <v>3</v>
      </c>
      <c r="C68" s="24" t="s">
        <v>4</v>
      </c>
      <c r="D68" s="24" t="s">
        <v>5</v>
      </c>
      <c r="E68" s="39" t="s">
        <v>6</v>
      </c>
      <c r="F68" s="24" t="s">
        <v>7</v>
      </c>
      <c r="G68" s="24" t="s">
        <v>9</v>
      </c>
      <c r="H68" s="24" t="s">
        <v>11</v>
      </c>
      <c r="I68" s="24" t="s">
        <v>12</v>
      </c>
      <c r="J68" s="24" t="s">
        <v>50</v>
      </c>
      <c r="K68" s="24" t="s">
        <v>65</v>
      </c>
      <c r="L68" s="39" t="s">
        <v>16</v>
      </c>
      <c r="M68" s="24" t="s">
        <v>52</v>
      </c>
    </row>
    <row r="69">
      <c r="A69" s="42" t="s">
        <v>21</v>
      </c>
      <c r="B69" s="43">
        <f>21514+1847</f>
        <v>23361</v>
      </c>
      <c r="C69" s="44">
        <f t="shared" ref="C69:C81" si="21">K69+H69</f>
        <v>13176.9</v>
      </c>
      <c r="D69" s="45">
        <f t="shared" ref="D69:D81" si="22">B69-C69</f>
        <v>10184.1</v>
      </c>
      <c r="E69" s="11">
        <f t="shared" ref="E69:E81" si="23">D69/B69*100</f>
        <v>43.59445229</v>
      </c>
      <c r="F69" s="46">
        <f t="shared" ref="F69:F81" si="24">D69/I69</f>
        <v>509.205</v>
      </c>
      <c r="G69" s="47">
        <v>34.0</v>
      </c>
      <c r="H69" s="14">
        <f>270*I69</f>
        <v>5400</v>
      </c>
      <c r="I69" s="48">
        <v>20.0</v>
      </c>
      <c r="J69" s="14">
        <f t="shared" ref="J69:J71" si="25">G69-I69</f>
        <v>14</v>
      </c>
      <c r="K69" s="49">
        <f>8325.35+-548.45</f>
        <v>7776.9</v>
      </c>
      <c r="L69" s="50">
        <f t="shared" ref="L69:L81" si="26">J69/G69*100</f>
        <v>41.17647059</v>
      </c>
      <c r="M69" s="51">
        <f t="shared" ref="M69:M76" si="27">20%*B69</f>
        <v>4672.2</v>
      </c>
    </row>
    <row r="70">
      <c r="A70" s="42" t="s">
        <v>23</v>
      </c>
      <c r="B70" s="43">
        <f>27928</f>
        <v>27928</v>
      </c>
      <c r="C70" s="44">
        <f t="shared" si="21"/>
        <v>17189.92</v>
      </c>
      <c r="D70" s="45">
        <f t="shared" si="22"/>
        <v>10738.08</v>
      </c>
      <c r="E70" s="11">
        <f t="shared" si="23"/>
        <v>38.44915497</v>
      </c>
      <c r="F70" s="46">
        <f t="shared" si="24"/>
        <v>488.0945455</v>
      </c>
      <c r="G70" s="47">
        <v>32.0</v>
      </c>
      <c r="H70" s="14">
        <f>350*I70</f>
        <v>7700</v>
      </c>
      <c r="I70" s="48">
        <v>22.0</v>
      </c>
      <c r="J70" s="14">
        <f t="shared" si="25"/>
        <v>10</v>
      </c>
      <c r="K70" s="49">
        <f>9489.92</f>
        <v>9489.92</v>
      </c>
      <c r="L70" s="50">
        <f t="shared" si="26"/>
        <v>31.25</v>
      </c>
      <c r="M70" s="51">
        <f t="shared" si="27"/>
        <v>5585.6</v>
      </c>
    </row>
    <row r="71">
      <c r="A71" s="42" t="s">
        <v>25</v>
      </c>
      <c r="B71" s="43">
        <v>0.0</v>
      </c>
      <c r="C71" s="44">
        <f t="shared" si="21"/>
        <v>362.26</v>
      </c>
      <c r="D71" s="45">
        <f t="shared" si="22"/>
        <v>-362.26</v>
      </c>
      <c r="E71" s="11" t="str">
        <f t="shared" si="23"/>
        <v>#DIV/0!</v>
      </c>
      <c r="F71" s="46" t="str">
        <f t="shared" si="24"/>
        <v>#DIV/0!</v>
      </c>
      <c r="G71" s="47">
        <v>1.0</v>
      </c>
      <c r="H71" s="14">
        <f> 980*I71</f>
        <v>0</v>
      </c>
      <c r="I71" s="48">
        <v>0.0</v>
      </c>
      <c r="J71" s="14">
        <f t="shared" si="25"/>
        <v>1</v>
      </c>
      <c r="K71" s="49">
        <f>362.26</f>
        <v>362.26</v>
      </c>
      <c r="L71" s="50">
        <f t="shared" si="26"/>
        <v>100</v>
      </c>
      <c r="M71" s="51">
        <f t="shared" si="27"/>
        <v>0</v>
      </c>
    </row>
    <row r="72">
      <c r="A72" s="42" t="s">
        <v>26</v>
      </c>
      <c r="B72" s="43">
        <f>19007+949</f>
        <v>19956</v>
      </c>
      <c r="C72" s="44">
        <f t="shared" si="21"/>
        <v>19088.29</v>
      </c>
      <c r="D72" s="45">
        <f t="shared" si="22"/>
        <v>867.71</v>
      </c>
      <c r="E72" s="11">
        <f t="shared" si="23"/>
        <v>4.348115855</v>
      </c>
      <c r="F72" s="46">
        <f t="shared" si="24"/>
        <v>22.24897436</v>
      </c>
      <c r="G72" s="47">
        <v>56.0</v>
      </c>
      <c r="H72" s="14">
        <f>220*I72</f>
        <v>8580</v>
      </c>
      <c r="I72" s="48">
        <v>39.0</v>
      </c>
      <c r="J72" s="14">
        <f>G72-I72+2</f>
        <v>19</v>
      </c>
      <c r="K72" s="49">
        <f>10176.58+331.71</f>
        <v>10508.29</v>
      </c>
      <c r="L72" s="50">
        <f t="shared" si="26"/>
        <v>33.92857143</v>
      </c>
      <c r="M72" s="51">
        <f t="shared" si="27"/>
        <v>3991.2</v>
      </c>
    </row>
    <row r="73">
      <c r="A73" s="42" t="s">
        <v>28</v>
      </c>
      <c r="B73" s="43">
        <f>6894</f>
        <v>6894</v>
      </c>
      <c r="C73" s="44">
        <f t="shared" si="21"/>
        <v>3862.12</v>
      </c>
      <c r="D73" s="45">
        <f t="shared" si="22"/>
        <v>3031.88</v>
      </c>
      <c r="E73" s="11">
        <f t="shared" si="23"/>
        <v>43.97853206</v>
      </c>
      <c r="F73" s="46">
        <f t="shared" si="24"/>
        <v>505.3133333</v>
      </c>
      <c r="G73" s="47">
        <v>8.0</v>
      </c>
      <c r="H73" s="14">
        <f>270*I73</f>
        <v>1620</v>
      </c>
      <c r="I73" s="48">
        <v>6.0</v>
      </c>
      <c r="J73" s="14">
        <f t="shared" ref="J73:J79" si="28">G73-I73</f>
        <v>2</v>
      </c>
      <c r="K73" s="49">
        <f>2242.12</f>
        <v>2242.12</v>
      </c>
      <c r="L73" s="50">
        <f t="shared" si="26"/>
        <v>25</v>
      </c>
      <c r="M73" s="51">
        <f t="shared" si="27"/>
        <v>1378.8</v>
      </c>
    </row>
    <row r="74">
      <c r="A74" s="42" t="s">
        <v>29</v>
      </c>
      <c r="B74" s="43">
        <f>38205</f>
        <v>38205</v>
      </c>
      <c r="C74" s="44">
        <f t="shared" si="21"/>
        <v>23136.26</v>
      </c>
      <c r="D74" s="45">
        <f t="shared" si="22"/>
        <v>15068.74</v>
      </c>
      <c r="E74" s="11">
        <f t="shared" si="23"/>
        <v>39.44180081</v>
      </c>
      <c r="F74" s="46">
        <f t="shared" si="24"/>
        <v>502.2913333</v>
      </c>
      <c r="G74" s="47">
        <v>45.0</v>
      </c>
      <c r="H74" s="14">
        <f>320*I74</f>
        <v>9600</v>
      </c>
      <c r="I74" s="48">
        <v>30.0</v>
      </c>
      <c r="J74" s="14">
        <f t="shared" si="28"/>
        <v>15</v>
      </c>
      <c r="K74" s="49">
        <f>13536.26</f>
        <v>13536.26</v>
      </c>
      <c r="L74" s="50">
        <f t="shared" si="26"/>
        <v>33.33333333</v>
      </c>
      <c r="M74" s="51">
        <f t="shared" si="27"/>
        <v>7641</v>
      </c>
    </row>
    <row r="75">
      <c r="A75" s="42" t="s">
        <v>31</v>
      </c>
      <c r="B75" s="43">
        <f>2798</f>
        <v>2798</v>
      </c>
      <c r="C75" s="44">
        <f t="shared" si="21"/>
        <v>1985.84</v>
      </c>
      <c r="D75" s="45">
        <f t="shared" si="22"/>
        <v>812.16</v>
      </c>
      <c r="E75" s="11">
        <f t="shared" si="23"/>
        <v>29.02644746</v>
      </c>
      <c r="F75" s="46">
        <f t="shared" si="24"/>
        <v>406.08</v>
      </c>
      <c r="G75" s="47">
        <v>4.0</v>
      </c>
      <c r="H75" s="14">
        <f>470*I75</f>
        <v>940</v>
      </c>
      <c r="I75" s="48">
        <v>2.0</v>
      </c>
      <c r="J75" s="14">
        <f t="shared" si="28"/>
        <v>2</v>
      </c>
      <c r="K75" s="49">
        <f>1045.84</f>
        <v>1045.84</v>
      </c>
      <c r="L75" s="50">
        <f t="shared" si="26"/>
        <v>50</v>
      </c>
      <c r="M75" s="51">
        <f t="shared" si="27"/>
        <v>559.6</v>
      </c>
    </row>
    <row r="76">
      <c r="A76" s="42" t="s">
        <v>66</v>
      </c>
      <c r="B76" s="43">
        <f>7130</f>
        <v>7130</v>
      </c>
      <c r="C76" s="44">
        <f t="shared" si="21"/>
        <v>4936.3</v>
      </c>
      <c r="D76" s="45">
        <f t="shared" si="22"/>
        <v>2193.7</v>
      </c>
      <c r="E76" s="11">
        <f t="shared" si="23"/>
        <v>30.76718093</v>
      </c>
      <c r="F76" s="46">
        <f t="shared" si="24"/>
        <v>219.37</v>
      </c>
      <c r="G76" s="47">
        <v>12.0</v>
      </c>
      <c r="H76" s="14">
        <f>200*I76</f>
        <v>2000</v>
      </c>
      <c r="I76" s="48">
        <v>10.0</v>
      </c>
      <c r="J76" s="14">
        <f t="shared" si="28"/>
        <v>2</v>
      </c>
      <c r="K76" s="49">
        <f>2936.3</f>
        <v>2936.3</v>
      </c>
      <c r="L76" s="50">
        <f t="shared" si="26"/>
        <v>16.66666667</v>
      </c>
      <c r="M76" s="51">
        <f t="shared" si="27"/>
        <v>1426</v>
      </c>
    </row>
    <row r="77">
      <c r="A77" s="42" t="s">
        <v>33</v>
      </c>
      <c r="B77" s="43">
        <f>55353</f>
        <v>55353</v>
      </c>
      <c r="C77" s="44">
        <f t="shared" si="21"/>
        <v>46712.94</v>
      </c>
      <c r="D77" s="45">
        <f t="shared" si="22"/>
        <v>8640.06</v>
      </c>
      <c r="E77" s="11">
        <f t="shared" si="23"/>
        <v>15.60901848</v>
      </c>
      <c r="F77" s="46">
        <f t="shared" si="24"/>
        <v>320.0022222</v>
      </c>
      <c r="G77" s="47">
        <v>49.0</v>
      </c>
      <c r="H77" s="14">
        <f>1000*I77</f>
        <v>27000</v>
      </c>
      <c r="I77" s="48">
        <v>27.0</v>
      </c>
      <c r="J77" s="14">
        <f t="shared" si="28"/>
        <v>22</v>
      </c>
      <c r="K77" s="49">
        <f>19712.94</f>
        <v>19712.94</v>
      </c>
      <c r="L77" s="50">
        <f t="shared" si="26"/>
        <v>44.89795918</v>
      </c>
      <c r="M77" s="51">
        <v>0.0</v>
      </c>
    </row>
    <row r="78">
      <c r="A78" s="42" t="s">
        <v>67</v>
      </c>
      <c r="B78" s="43">
        <f>4947</f>
        <v>4947</v>
      </c>
      <c r="C78" s="44">
        <f t="shared" si="21"/>
        <v>3174.19</v>
      </c>
      <c r="D78" s="45">
        <f t="shared" si="22"/>
        <v>1772.81</v>
      </c>
      <c r="E78" s="11">
        <f t="shared" si="23"/>
        <v>35.83606226</v>
      </c>
      <c r="F78" s="46">
        <f t="shared" si="24"/>
        <v>590.9366667</v>
      </c>
      <c r="G78" s="47">
        <v>3.0</v>
      </c>
      <c r="H78" s="14">
        <f>(220+350)*I78</f>
        <v>1710</v>
      </c>
      <c r="I78" s="48">
        <v>3.0</v>
      </c>
      <c r="J78" s="14">
        <f t="shared" si="28"/>
        <v>0</v>
      </c>
      <c r="K78" s="49">
        <f>1464.19</f>
        <v>1464.19</v>
      </c>
      <c r="L78" s="50">
        <f t="shared" si="26"/>
        <v>0</v>
      </c>
      <c r="M78" s="51">
        <f t="shared" ref="M78:M81" si="29">20%*B78</f>
        <v>989.4</v>
      </c>
    </row>
    <row r="79">
      <c r="A79" s="42" t="s">
        <v>55</v>
      </c>
      <c r="B79" s="43">
        <f>10143</f>
        <v>10143</v>
      </c>
      <c r="C79" s="44">
        <f t="shared" si="21"/>
        <v>7030.9</v>
      </c>
      <c r="D79" s="45">
        <f t="shared" si="22"/>
        <v>3112.1</v>
      </c>
      <c r="E79" s="11">
        <f t="shared" si="23"/>
        <v>30.68224391</v>
      </c>
      <c r="F79" s="46">
        <f t="shared" si="24"/>
        <v>444.5857143</v>
      </c>
      <c r="G79" s="47">
        <v>12.0</v>
      </c>
      <c r="H79" s="14">
        <f>(270+220)*I79</f>
        <v>3430</v>
      </c>
      <c r="I79" s="48">
        <v>7.0</v>
      </c>
      <c r="J79" s="14">
        <f t="shared" si="28"/>
        <v>5</v>
      </c>
      <c r="K79" s="49">
        <f>3600.9</f>
        <v>3600.9</v>
      </c>
      <c r="L79" s="50">
        <f t="shared" si="26"/>
        <v>41.66666667</v>
      </c>
      <c r="M79" s="51">
        <f t="shared" si="29"/>
        <v>2028.6</v>
      </c>
    </row>
    <row r="80">
      <c r="A80" s="42" t="s">
        <v>68</v>
      </c>
      <c r="B80" s="43">
        <f>2349</f>
        <v>2349</v>
      </c>
      <c r="C80" s="44">
        <f t="shared" si="21"/>
        <v>1339.61</v>
      </c>
      <c r="D80" s="45">
        <f t="shared" si="22"/>
        <v>1009.39</v>
      </c>
      <c r="E80" s="11">
        <f t="shared" si="23"/>
        <v>42.97105151</v>
      </c>
      <c r="F80" s="46">
        <f t="shared" si="24"/>
        <v>1009.39</v>
      </c>
      <c r="G80" s="47">
        <v>1.0</v>
      </c>
      <c r="H80" s="14">
        <f>(320+350)*I80</f>
        <v>670</v>
      </c>
      <c r="I80" s="48">
        <v>1.0</v>
      </c>
      <c r="J80" s="14">
        <v>0.0</v>
      </c>
      <c r="K80" s="49">
        <f>669.61</f>
        <v>669.61</v>
      </c>
      <c r="L80" s="50">
        <f t="shared" si="26"/>
        <v>0</v>
      </c>
      <c r="M80" s="51">
        <f t="shared" si="29"/>
        <v>469.8</v>
      </c>
    </row>
    <row r="81">
      <c r="A81" s="42" t="s">
        <v>67</v>
      </c>
      <c r="B81" s="43">
        <f>2249</f>
        <v>2249</v>
      </c>
      <c r="C81" s="44">
        <f t="shared" si="21"/>
        <v>1246.59</v>
      </c>
      <c r="D81" s="45">
        <f t="shared" si="22"/>
        <v>1002.41</v>
      </c>
      <c r="E81" s="11">
        <f t="shared" si="23"/>
        <v>44.57136505</v>
      </c>
      <c r="F81" s="46">
        <f t="shared" si="24"/>
        <v>1002.41</v>
      </c>
      <c r="G81" s="47">
        <v>1.0</v>
      </c>
      <c r="H81" s="14">
        <f>(270+350)*I81</f>
        <v>620</v>
      </c>
      <c r="I81" s="48">
        <v>1.0</v>
      </c>
      <c r="J81" s="14">
        <v>0.0</v>
      </c>
      <c r="K81" s="49">
        <f>626.59</f>
        <v>626.59</v>
      </c>
      <c r="L81" s="50">
        <f t="shared" si="26"/>
        <v>0</v>
      </c>
      <c r="M81" s="51">
        <f t="shared" si="29"/>
        <v>449.8</v>
      </c>
    </row>
    <row r="82">
      <c r="A82" s="3"/>
      <c r="B82" s="41">
        <f t="shared" ref="B82:D82" si="30">SUM(B69:B81)</f>
        <v>201313</v>
      </c>
      <c r="C82" s="41">
        <f t="shared" si="30"/>
        <v>143242.12</v>
      </c>
      <c r="D82" s="53">
        <f t="shared" si="30"/>
        <v>58070.88</v>
      </c>
      <c r="E82" s="3"/>
      <c r="F82" s="3"/>
      <c r="G82" s="41">
        <f t="shared" ref="G82:K82" si="31">SUM(G69:G81)</f>
        <v>258</v>
      </c>
      <c r="H82" s="41">
        <f t="shared" si="31"/>
        <v>69270</v>
      </c>
      <c r="I82" s="41">
        <f t="shared" si="31"/>
        <v>168</v>
      </c>
      <c r="J82" s="41">
        <f t="shared" si="31"/>
        <v>92</v>
      </c>
      <c r="K82" s="41">
        <f t="shared" si="31"/>
        <v>73972.12</v>
      </c>
      <c r="L82" s="3"/>
      <c r="M82" s="41">
        <f>SUM(M69:M81)</f>
        <v>29192</v>
      </c>
    </row>
    <row r="85">
      <c r="A85" s="31" t="s">
        <v>40</v>
      </c>
      <c r="B85" s="36">
        <f>B82</f>
        <v>201313</v>
      </c>
      <c r="C85" s="3"/>
      <c r="D85" s="3"/>
      <c r="E85" s="3"/>
    </row>
    <row r="86">
      <c r="A86" s="31" t="s">
        <v>41</v>
      </c>
      <c r="B86" s="36">
        <f>H82</f>
        <v>69270</v>
      </c>
      <c r="C86" s="3"/>
      <c r="D86" s="30" t="s">
        <v>39</v>
      </c>
      <c r="E86" s="3"/>
    </row>
    <row r="87">
      <c r="A87" s="31" t="s">
        <v>69</v>
      </c>
      <c r="B87" s="36">
        <f>K82-B88</f>
        <v>44780.12</v>
      </c>
      <c r="C87" s="3"/>
      <c r="D87" s="33" t="s">
        <v>41</v>
      </c>
      <c r="E87" s="34">
        <f>B86/I82</f>
        <v>412.3214286</v>
      </c>
    </row>
    <row r="88">
      <c r="A88" s="31" t="s">
        <v>44</v>
      </c>
      <c r="B88" s="36">
        <f>M82</f>
        <v>29192</v>
      </c>
      <c r="C88" s="3"/>
      <c r="D88" s="33" t="s">
        <v>42</v>
      </c>
      <c r="E88" s="34">
        <f>B88/I82</f>
        <v>173.7619048</v>
      </c>
    </row>
    <row r="89">
      <c r="A89" s="31" t="s">
        <v>62</v>
      </c>
      <c r="B89" s="36">
        <f>B85-SUM(B86:B88)</f>
        <v>58070.88</v>
      </c>
      <c r="C89" s="3"/>
      <c r="D89" s="33" t="s">
        <v>63</v>
      </c>
      <c r="E89" s="34">
        <f>B87/I82</f>
        <v>266.5483333</v>
      </c>
    </row>
    <row r="90">
      <c r="A90" s="31" t="s">
        <v>47</v>
      </c>
      <c r="B90" s="62">
        <f>B89/B85*100</f>
        <v>28.84606558</v>
      </c>
      <c r="C90" s="3"/>
      <c r="D90" s="33" t="s">
        <v>45</v>
      </c>
      <c r="E90" s="34">
        <f>B85/I82</f>
        <v>1198.291667</v>
      </c>
    </row>
    <row r="95">
      <c r="A95" s="1" t="s">
        <v>0</v>
      </c>
      <c r="B95" s="2" t="s">
        <v>70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8" t="s">
        <v>49</v>
      </c>
      <c r="B97" s="24" t="s">
        <v>3</v>
      </c>
      <c r="C97" s="24" t="s">
        <v>4</v>
      </c>
      <c r="D97" s="24" t="s">
        <v>5</v>
      </c>
      <c r="E97" s="39" t="s">
        <v>6</v>
      </c>
      <c r="F97" s="24" t="s">
        <v>7</v>
      </c>
      <c r="G97" s="24" t="s">
        <v>71</v>
      </c>
      <c r="H97" s="24" t="s">
        <v>9</v>
      </c>
      <c r="I97" s="24" t="s">
        <v>72</v>
      </c>
      <c r="J97" s="24" t="s">
        <v>73</v>
      </c>
      <c r="K97" s="28" t="s">
        <v>43</v>
      </c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42" t="s">
        <v>21</v>
      </c>
      <c r="B98" s="43">
        <f>689*H98</f>
        <v>97149</v>
      </c>
      <c r="C98" s="63">
        <f t="shared" ref="C98:C101" si="32">J98+G98+I98+K98</f>
        <v>71750.1</v>
      </c>
      <c r="D98" s="45">
        <f t="shared" ref="D98:D101" si="33">B98-C98</f>
        <v>25398.9</v>
      </c>
      <c r="E98" s="11">
        <f t="shared" ref="E98:E101" si="34">D98/B98*100</f>
        <v>26.14427323</v>
      </c>
      <c r="F98" s="46">
        <f t="shared" ref="F98:F101" si="35">D98/H98</f>
        <v>180.1340426</v>
      </c>
      <c r="G98" s="14">
        <f>270*H98</f>
        <v>38070</v>
      </c>
      <c r="H98" s="48">
        <v>141.0</v>
      </c>
      <c r="I98" s="14">
        <v>0.0</v>
      </c>
      <c r="J98" s="64">
        <f>L98%*M98</f>
        <v>30860.1</v>
      </c>
      <c r="K98" s="65">
        <f t="shared" ref="K98:K101" si="36">20*H98</f>
        <v>2820</v>
      </c>
      <c r="L98" s="53">
        <v>85.0</v>
      </c>
      <c r="M98" s="41">
        <v>36306.0</v>
      </c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42" t="s">
        <v>26</v>
      </c>
      <c r="B99" s="43">
        <f>359*H99</f>
        <v>31951</v>
      </c>
      <c r="C99" s="63">
        <f t="shared" si="32"/>
        <v>26805.9</v>
      </c>
      <c r="D99" s="45">
        <f t="shared" si="33"/>
        <v>5145.1</v>
      </c>
      <c r="E99" s="11">
        <f t="shared" si="34"/>
        <v>16.10309536</v>
      </c>
      <c r="F99" s="46">
        <f t="shared" si="35"/>
        <v>57.81011236</v>
      </c>
      <c r="G99" s="14">
        <f>220*H99</f>
        <v>19580</v>
      </c>
      <c r="H99" s="48">
        <v>89.0</v>
      </c>
      <c r="I99" s="14">
        <v>0.0</v>
      </c>
      <c r="J99" s="64">
        <f>L99%*M98</f>
        <v>5445.9</v>
      </c>
      <c r="K99" s="65">
        <f t="shared" si="36"/>
        <v>1780</v>
      </c>
      <c r="L99" s="53">
        <f>100-L98</f>
        <v>15</v>
      </c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2" t="s">
        <v>23</v>
      </c>
      <c r="B100" s="43">
        <f>781*H100</f>
        <v>57013</v>
      </c>
      <c r="C100" s="44">
        <f t="shared" si="32"/>
        <v>27010</v>
      </c>
      <c r="D100" s="45">
        <f t="shared" si="33"/>
        <v>30003</v>
      </c>
      <c r="E100" s="11">
        <f t="shared" si="34"/>
        <v>52.62483995</v>
      </c>
      <c r="F100" s="46">
        <f t="shared" si="35"/>
        <v>411</v>
      </c>
      <c r="G100" s="14">
        <f t="shared" ref="G100:G101" si="37">350*H100</f>
        <v>25550</v>
      </c>
      <c r="H100" s="48">
        <v>73.0</v>
      </c>
      <c r="I100" s="14">
        <v>0.0</v>
      </c>
      <c r="J100" s="66">
        <f t="shared" ref="J100:J101" si="38">L100%*M100</f>
        <v>0</v>
      </c>
      <c r="K100" s="65">
        <f t="shared" si="36"/>
        <v>1460</v>
      </c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42" t="s">
        <v>29</v>
      </c>
      <c r="B101" s="43">
        <f>843*H101</f>
        <v>55638</v>
      </c>
      <c r="C101" s="44">
        <f t="shared" si="32"/>
        <v>24420</v>
      </c>
      <c r="D101" s="45">
        <f t="shared" si="33"/>
        <v>31218</v>
      </c>
      <c r="E101" s="11">
        <f t="shared" si="34"/>
        <v>56.10913405</v>
      </c>
      <c r="F101" s="46">
        <f t="shared" si="35"/>
        <v>473</v>
      </c>
      <c r="G101" s="14">
        <f t="shared" si="37"/>
        <v>23100</v>
      </c>
      <c r="H101" s="48">
        <v>66.0</v>
      </c>
      <c r="I101" s="14">
        <v>0.0</v>
      </c>
      <c r="J101" s="66">
        <f t="shared" si="38"/>
        <v>0</v>
      </c>
      <c r="K101" s="65">
        <f t="shared" si="36"/>
        <v>1320</v>
      </c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41">
        <f t="shared" ref="B102:K102" si="39">SUM(B98:B101)</f>
        <v>241751</v>
      </c>
      <c r="C102" s="67">
        <f t="shared" si="39"/>
        <v>149986</v>
      </c>
      <c r="D102" s="53">
        <f t="shared" si="39"/>
        <v>91765</v>
      </c>
      <c r="E102" s="68">
        <f t="shared" si="39"/>
        <v>150.9813426</v>
      </c>
      <c r="F102" s="68">
        <f t="shared" si="39"/>
        <v>1121.944155</v>
      </c>
      <c r="G102" s="41">
        <f t="shared" si="39"/>
        <v>106300</v>
      </c>
      <c r="H102" s="41">
        <f t="shared" si="39"/>
        <v>369</v>
      </c>
      <c r="I102" s="41">
        <f t="shared" si="39"/>
        <v>0</v>
      </c>
      <c r="J102" s="67">
        <f t="shared" si="39"/>
        <v>36306</v>
      </c>
      <c r="K102" s="41">
        <f t="shared" si="39"/>
        <v>7380</v>
      </c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5">
      <c r="A105" s="31" t="s">
        <v>40</v>
      </c>
      <c r="B105" s="32">
        <f>B102</f>
        <v>241751</v>
      </c>
      <c r="C105" s="3"/>
      <c r="D105" s="30" t="s">
        <v>39</v>
      </c>
      <c r="E105" s="3"/>
    </row>
    <row r="106">
      <c r="A106" s="31" t="s">
        <v>41</v>
      </c>
      <c r="B106" s="32">
        <f>G102</f>
        <v>106300</v>
      </c>
      <c r="C106" s="3"/>
      <c r="D106" s="33" t="s">
        <v>41</v>
      </c>
      <c r="E106" s="34">
        <f>B106/H102</f>
        <v>288.0758808</v>
      </c>
    </row>
    <row r="107">
      <c r="A107" s="31" t="s">
        <v>74</v>
      </c>
      <c r="B107" s="32">
        <f>K102</f>
        <v>7380</v>
      </c>
      <c r="C107" s="3"/>
      <c r="D107" s="33" t="s">
        <v>42</v>
      </c>
      <c r="E107" s="34">
        <f>B108/H102</f>
        <v>98.3902439</v>
      </c>
    </row>
    <row r="108">
      <c r="A108" s="31" t="s">
        <v>75</v>
      </c>
      <c r="B108" s="62">
        <f>I102+J102</f>
        <v>36306</v>
      </c>
      <c r="C108" s="3"/>
      <c r="D108" s="56" t="s">
        <v>43</v>
      </c>
      <c r="E108" s="34">
        <f>K102/H102</f>
        <v>20</v>
      </c>
    </row>
    <row r="109">
      <c r="A109" s="31" t="s">
        <v>62</v>
      </c>
      <c r="B109" s="32">
        <f>B105-SUM(B106:B108)</f>
        <v>91765</v>
      </c>
      <c r="C109" s="3"/>
      <c r="D109" s="33" t="s">
        <v>45</v>
      </c>
      <c r="E109" s="34">
        <f>B105/H102</f>
        <v>655.1517615</v>
      </c>
    </row>
    <row r="110">
      <c r="A110" s="31" t="s">
        <v>47</v>
      </c>
      <c r="B110" s="62">
        <f>B109/B105*100</f>
        <v>37.95847794</v>
      </c>
      <c r="C110" s="3"/>
      <c r="D110" s="3"/>
      <c r="E110" s="3"/>
    </row>
    <row r="116">
      <c r="A116" s="1" t="s">
        <v>0</v>
      </c>
      <c r="B116" s="2" t="s">
        <v>76</v>
      </c>
      <c r="C116" s="3"/>
      <c r="D116" s="3"/>
      <c r="E116" s="3"/>
      <c r="F116" s="3"/>
      <c r="G116" s="3"/>
      <c r="H116" s="3"/>
      <c r="I116" s="3"/>
      <c r="J116" s="3"/>
      <c r="K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</row>
    <row r="118">
      <c r="A118" s="38" t="s">
        <v>49</v>
      </c>
      <c r="B118" s="24" t="s">
        <v>3</v>
      </c>
      <c r="C118" s="24" t="s">
        <v>4</v>
      </c>
      <c r="D118" s="24" t="s">
        <v>5</v>
      </c>
      <c r="E118" s="39" t="s">
        <v>6</v>
      </c>
      <c r="F118" s="24" t="s">
        <v>7</v>
      </c>
      <c r="G118" s="24" t="s">
        <v>71</v>
      </c>
      <c r="H118" s="24" t="s">
        <v>9</v>
      </c>
      <c r="I118" s="24" t="s">
        <v>77</v>
      </c>
      <c r="J118" s="24" t="s">
        <v>73</v>
      </c>
      <c r="K118" s="28" t="s">
        <v>43</v>
      </c>
    </row>
    <row r="119">
      <c r="A119" s="42" t="s">
        <v>21</v>
      </c>
      <c r="B119" s="43">
        <f>727*H119</f>
        <v>73427</v>
      </c>
      <c r="C119" s="44">
        <f t="shared" ref="C119:C121" si="40">J119+G119+I119+K119</f>
        <v>29290</v>
      </c>
      <c r="D119" s="45">
        <f t="shared" ref="D119:D122" si="41">B119-C119</f>
        <v>44137</v>
      </c>
      <c r="E119" s="11">
        <f t="shared" ref="E119:E121" si="42">D119/B119*100</f>
        <v>60.11004127</v>
      </c>
      <c r="F119" s="46">
        <f t="shared" ref="F119:F121" si="43">D119/H119</f>
        <v>437</v>
      </c>
      <c r="G119" s="14">
        <f>270*H119</f>
        <v>27270</v>
      </c>
      <c r="H119" s="48">
        <v>101.0</v>
      </c>
      <c r="I119" s="14">
        <v>0.0</v>
      </c>
      <c r="J119" s="66">
        <v>0.0</v>
      </c>
      <c r="K119" s="65">
        <f t="shared" ref="K119:K121" si="44">20*H119</f>
        <v>2020</v>
      </c>
    </row>
    <row r="120">
      <c r="A120" s="42" t="s">
        <v>26</v>
      </c>
      <c r="B120" s="43">
        <f>385*H120</f>
        <v>11550</v>
      </c>
      <c r="C120" s="44">
        <f t="shared" si="40"/>
        <v>7200</v>
      </c>
      <c r="D120" s="45">
        <f t="shared" si="41"/>
        <v>4350</v>
      </c>
      <c r="E120" s="11">
        <f t="shared" si="42"/>
        <v>37.66233766</v>
      </c>
      <c r="F120" s="46">
        <f t="shared" si="43"/>
        <v>145</v>
      </c>
      <c r="G120" s="14">
        <f>220*H120</f>
        <v>6600</v>
      </c>
      <c r="H120" s="48">
        <v>30.0</v>
      </c>
      <c r="I120" s="14">
        <v>0.0</v>
      </c>
      <c r="J120" s="66">
        <v>0.0</v>
      </c>
      <c r="K120" s="65">
        <f t="shared" si="44"/>
        <v>600</v>
      </c>
    </row>
    <row r="121">
      <c r="A121" s="42" t="s">
        <v>23</v>
      </c>
      <c r="B121" s="43">
        <f>801*H121</f>
        <v>53667</v>
      </c>
      <c r="C121" s="44">
        <f t="shared" si="40"/>
        <v>24790</v>
      </c>
      <c r="D121" s="45">
        <f t="shared" si="41"/>
        <v>28877</v>
      </c>
      <c r="E121" s="11">
        <f t="shared" si="42"/>
        <v>53.80774032</v>
      </c>
      <c r="F121" s="46">
        <f t="shared" si="43"/>
        <v>431</v>
      </c>
      <c r="G121" s="14">
        <f>350*H121</f>
        <v>23450</v>
      </c>
      <c r="H121" s="48">
        <v>67.0</v>
      </c>
      <c r="I121" s="14">
        <v>0.0</v>
      </c>
      <c r="J121" s="66">
        <v>0.0</v>
      </c>
      <c r="K121" s="65">
        <f t="shared" si="44"/>
        <v>1340</v>
      </c>
    </row>
    <row r="122">
      <c r="A122" s="3"/>
      <c r="B122" s="41">
        <f t="shared" ref="B122:C122" si="45">SUM(B119:B121)</f>
        <v>138644</v>
      </c>
      <c r="C122" s="41">
        <f t="shared" si="45"/>
        <v>61280</v>
      </c>
      <c r="D122" s="41">
        <f t="shared" si="41"/>
        <v>77364</v>
      </c>
      <c r="E122" s="3"/>
      <c r="F122" s="3"/>
      <c r="G122" s="41">
        <f t="shared" ref="G122:H122" si="46">SUM(G119:G121)</f>
        <v>57320</v>
      </c>
      <c r="H122" s="41">
        <f t="shared" si="46"/>
        <v>198</v>
      </c>
      <c r="I122" s="3"/>
      <c r="J122" s="3"/>
      <c r="K122" s="41">
        <f>SUM(K119:K121)</f>
        <v>3960</v>
      </c>
    </row>
    <row r="124">
      <c r="A124" s="31" t="s">
        <v>40</v>
      </c>
      <c r="B124" s="32">
        <f>B122</f>
        <v>138644</v>
      </c>
      <c r="C124" s="3"/>
      <c r="D124" s="30" t="s">
        <v>39</v>
      </c>
      <c r="E124" s="3"/>
      <c r="F124" s="3"/>
    </row>
    <row r="125">
      <c r="A125" s="31" t="s">
        <v>41</v>
      </c>
      <c r="B125" s="32">
        <f>G122</f>
        <v>57320</v>
      </c>
      <c r="C125" s="3"/>
      <c r="D125" s="33" t="s">
        <v>41</v>
      </c>
      <c r="E125" s="34">
        <f>B125/H122</f>
        <v>289.4949495</v>
      </c>
      <c r="F125" s="3"/>
    </row>
    <row r="126">
      <c r="A126" s="31" t="s">
        <v>74</v>
      </c>
      <c r="B126" s="32">
        <f>K122</f>
        <v>3960</v>
      </c>
      <c r="C126" s="3"/>
      <c r="D126" s="33" t="s">
        <v>42</v>
      </c>
      <c r="E126" s="34">
        <f>B127</f>
        <v>0</v>
      </c>
      <c r="F126" s="3"/>
    </row>
    <row r="127">
      <c r="A127" s="31" t="s">
        <v>75</v>
      </c>
      <c r="B127" s="32">
        <f>I121+J121</f>
        <v>0</v>
      </c>
      <c r="C127" s="3"/>
      <c r="D127" s="69" t="s">
        <v>43</v>
      </c>
      <c r="E127" s="34">
        <f>B126/H122</f>
        <v>20</v>
      </c>
      <c r="F127" s="3"/>
    </row>
    <row r="128">
      <c r="A128" s="31" t="s">
        <v>62</v>
      </c>
      <c r="B128" s="32">
        <f>B124-SUM(B125:B127)</f>
        <v>77364</v>
      </c>
      <c r="C128" s="3"/>
      <c r="D128" s="33" t="s">
        <v>45</v>
      </c>
      <c r="E128" s="34">
        <f>B124/H122</f>
        <v>700.2222222</v>
      </c>
      <c r="F128" s="3"/>
    </row>
    <row r="129">
      <c r="A129" s="31" t="s">
        <v>47</v>
      </c>
      <c r="B129" s="62">
        <f>B128/B124*100</f>
        <v>55.80046738</v>
      </c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1" t="s">
        <v>0</v>
      </c>
      <c r="B132" s="2" t="s">
        <v>78</v>
      </c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8" t="s">
        <v>49</v>
      </c>
      <c r="B134" s="24" t="s">
        <v>3</v>
      </c>
      <c r="C134" s="24" t="s">
        <v>4</v>
      </c>
      <c r="D134" s="24" t="s">
        <v>5</v>
      </c>
      <c r="E134" s="39" t="s">
        <v>6</v>
      </c>
      <c r="F134" s="24" t="s">
        <v>7</v>
      </c>
      <c r="G134" s="24" t="s">
        <v>11</v>
      </c>
      <c r="H134" s="24" t="s">
        <v>12</v>
      </c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A135" s="42" t="s">
        <v>21</v>
      </c>
      <c r="B135" s="43">
        <v>78240.84</v>
      </c>
      <c r="C135" s="44">
        <f t="shared" ref="C135:C149" si="47">G135</f>
        <v>27500</v>
      </c>
      <c r="D135" s="45">
        <f t="shared" ref="D135:D150" si="48">B135-C135</f>
        <v>50740.84</v>
      </c>
      <c r="E135" s="11">
        <f t="shared" ref="E135:E149" si="49">D135/B135*100</f>
        <v>64.8521156</v>
      </c>
      <c r="F135" s="46">
        <f t="shared" ref="F135:F149" si="50">D135/H135</f>
        <v>461.2803636</v>
      </c>
      <c r="G135" s="14">
        <f>250*H135</f>
        <v>27500</v>
      </c>
      <c r="H135" s="48">
        <v>110.0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A136" s="42" t="s">
        <v>23</v>
      </c>
      <c r="B136" s="43">
        <v>55014.0</v>
      </c>
      <c r="C136" s="44">
        <f t="shared" si="47"/>
        <v>20300</v>
      </c>
      <c r="D136" s="45">
        <f t="shared" si="48"/>
        <v>34714</v>
      </c>
      <c r="E136" s="11">
        <f t="shared" si="49"/>
        <v>63.10030174</v>
      </c>
      <c r="F136" s="46">
        <f t="shared" si="50"/>
        <v>598.5172414</v>
      </c>
      <c r="G136" s="14">
        <f>350*H136</f>
        <v>20300</v>
      </c>
      <c r="H136" s="48">
        <v>58.0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A137" s="42" t="s">
        <v>25</v>
      </c>
      <c r="B137" s="43">
        <v>0.0</v>
      </c>
      <c r="C137" s="44">
        <f t="shared" si="47"/>
        <v>0</v>
      </c>
      <c r="D137" s="45">
        <f t="shared" si="48"/>
        <v>0</v>
      </c>
      <c r="E137" s="11" t="str">
        <f t="shared" si="49"/>
        <v>#DIV/0!</v>
      </c>
      <c r="F137" s="46" t="str">
        <f t="shared" si="50"/>
        <v>#DIV/0!</v>
      </c>
      <c r="G137" s="14">
        <f> 900*H137</f>
        <v>0</v>
      </c>
      <c r="H137" s="48">
        <v>0.0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A138" s="42" t="s">
        <v>26</v>
      </c>
      <c r="B138" s="43">
        <v>14350.52</v>
      </c>
      <c r="C138" s="44">
        <f t="shared" si="47"/>
        <v>7480</v>
      </c>
      <c r="D138" s="45">
        <f t="shared" si="48"/>
        <v>6870.52</v>
      </c>
      <c r="E138" s="11">
        <f t="shared" si="49"/>
        <v>47.87645326</v>
      </c>
      <c r="F138" s="46">
        <f t="shared" si="50"/>
        <v>202.0741176</v>
      </c>
      <c r="G138" s="14">
        <f>220*H138</f>
        <v>7480</v>
      </c>
      <c r="H138" s="48">
        <v>34.0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A139" s="42" t="s">
        <v>28</v>
      </c>
      <c r="B139" s="43">
        <v>6839.28</v>
      </c>
      <c r="C139" s="44">
        <f t="shared" si="47"/>
        <v>2500</v>
      </c>
      <c r="D139" s="45">
        <f t="shared" si="48"/>
        <v>4339.28</v>
      </c>
      <c r="E139" s="11">
        <f t="shared" si="49"/>
        <v>63.44644465</v>
      </c>
      <c r="F139" s="46">
        <f t="shared" si="50"/>
        <v>433.928</v>
      </c>
      <c r="G139" s="14">
        <f>250*H139</f>
        <v>2500</v>
      </c>
      <c r="H139" s="48">
        <v>10.0</v>
      </c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A140" s="42" t="s">
        <v>29</v>
      </c>
      <c r="B140" s="43">
        <v>27026.34</v>
      </c>
      <c r="C140" s="44">
        <f t="shared" si="47"/>
        <v>10240</v>
      </c>
      <c r="D140" s="45">
        <f t="shared" si="48"/>
        <v>16786.34</v>
      </c>
      <c r="E140" s="11">
        <f t="shared" si="49"/>
        <v>62.11103686</v>
      </c>
      <c r="F140" s="46">
        <f t="shared" si="50"/>
        <v>524.573125</v>
      </c>
      <c r="G140" s="14">
        <f>320*H140</f>
        <v>10240</v>
      </c>
      <c r="H140" s="48">
        <v>32.0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A141" s="42" t="s">
        <v>31</v>
      </c>
      <c r="B141" s="43">
        <v>4873.03</v>
      </c>
      <c r="C141" s="44">
        <f t="shared" si="47"/>
        <v>3000</v>
      </c>
      <c r="D141" s="45">
        <f t="shared" si="48"/>
        <v>1873.03</v>
      </c>
      <c r="E141" s="11">
        <f t="shared" si="49"/>
        <v>38.43666056</v>
      </c>
      <c r="F141" s="46">
        <f t="shared" si="50"/>
        <v>312.1716667</v>
      </c>
      <c r="G141" s="14">
        <f>500*H141</f>
        <v>3000</v>
      </c>
      <c r="H141" s="48">
        <v>6.0</v>
      </c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A142" s="42" t="s">
        <v>32</v>
      </c>
      <c r="B142" s="43">
        <v>0.0</v>
      </c>
      <c r="C142" s="44">
        <f t="shared" si="47"/>
        <v>0</v>
      </c>
      <c r="D142" s="45">
        <f t="shared" si="48"/>
        <v>0</v>
      </c>
      <c r="E142" s="11" t="str">
        <f t="shared" si="49"/>
        <v>#DIV/0!</v>
      </c>
      <c r="F142" s="46" t="str">
        <f t="shared" si="50"/>
        <v>#DIV/0!</v>
      </c>
      <c r="G142" s="14">
        <f>800*H142</f>
        <v>0</v>
      </c>
      <c r="H142" s="48">
        <v>0.0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A143" s="42" t="s">
        <v>33</v>
      </c>
      <c r="B143" s="43">
        <v>0.0</v>
      </c>
      <c r="C143" s="44">
        <f t="shared" si="47"/>
        <v>0</v>
      </c>
      <c r="D143" s="45">
        <f t="shared" si="48"/>
        <v>0</v>
      </c>
      <c r="E143" s="11" t="str">
        <f t="shared" si="49"/>
        <v>#DIV/0!</v>
      </c>
      <c r="F143" s="46" t="str">
        <f t="shared" si="50"/>
        <v>#DIV/0!</v>
      </c>
      <c r="G143" s="14">
        <f>1000*H143</f>
        <v>0</v>
      </c>
      <c r="H143" s="48">
        <v>0.0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42" t="s">
        <v>54</v>
      </c>
      <c r="B144" s="43">
        <v>0.0</v>
      </c>
      <c r="C144" s="44">
        <f t="shared" si="47"/>
        <v>0</v>
      </c>
      <c r="D144" s="45">
        <f t="shared" si="48"/>
        <v>0</v>
      </c>
      <c r="E144" s="11" t="str">
        <f t="shared" si="49"/>
        <v>#DIV/0!</v>
      </c>
      <c r="F144" s="46" t="str">
        <f t="shared" si="50"/>
        <v>#DIV/0!</v>
      </c>
      <c r="G144" s="14">
        <f>200*H144</f>
        <v>0</v>
      </c>
      <c r="H144" s="48">
        <v>0.0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42" t="s">
        <v>55</v>
      </c>
      <c r="B145" s="43">
        <v>24365.23</v>
      </c>
      <c r="C145" s="44">
        <f t="shared" si="47"/>
        <v>12250</v>
      </c>
      <c r="D145" s="45">
        <f t="shared" si="48"/>
        <v>12115.23</v>
      </c>
      <c r="E145" s="11">
        <f t="shared" si="49"/>
        <v>49.72343787</v>
      </c>
      <c r="F145" s="46">
        <f t="shared" si="50"/>
        <v>484.6092</v>
      </c>
      <c r="G145" s="14">
        <f>(270+220)*H145</f>
        <v>12250</v>
      </c>
      <c r="H145" s="48">
        <v>25.0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42" t="s">
        <v>56</v>
      </c>
      <c r="B146" s="43">
        <v>5847.65</v>
      </c>
      <c r="C146" s="44">
        <f t="shared" si="47"/>
        <v>2480</v>
      </c>
      <c r="D146" s="45">
        <f t="shared" si="48"/>
        <v>3367.65</v>
      </c>
      <c r="E146" s="11">
        <f t="shared" si="49"/>
        <v>57.58980103</v>
      </c>
      <c r="F146" s="46">
        <f t="shared" si="50"/>
        <v>841.9125</v>
      </c>
      <c r="G146" s="14">
        <f>(270+350)*H146</f>
        <v>2480</v>
      </c>
      <c r="H146" s="48">
        <v>4.0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42" t="s">
        <v>57</v>
      </c>
      <c r="B147" s="43">
        <v>5847.65</v>
      </c>
      <c r="C147" s="44">
        <f t="shared" si="47"/>
        <v>2360</v>
      </c>
      <c r="D147" s="45">
        <f t="shared" si="48"/>
        <v>3487.65</v>
      </c>
      <c r="E147" s="11">
        <f t="shared" si="49"/>
        <v>59.64190743</v>
      </c>
      <c r="F147" s="46">
        <f t="shared" si="50"/>
        <v>871.9125</v>
      </c>
      <c r="G147" s="14">
        <f>(270+320)*H147</f>
        <v>2360</v>
      </c>
      <c r="H147" s="48">
        <v>4.0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A148" s="42" t="s">
        <v>58</v>
      </c>
      <c r="B148" s="43">
        <v>16113.51</v>
      </c>
      <c r="C148" s="44">
        <f t="shared" si="47"/>
        <v>9120</v>
      </c>
      <c r="D148" s="45">
        <f t="shared" si="48"/>
        <v>6993.51</v>
      </c>
      <c r="E148" s="11">
        <f t="shared" si="49"/>
        <v>43.40153077</v>
      </c>
      <c r="F148" s="46">
        <f t="shared" si="50"/>
        <v>437.094375</v>
      </c>
      <c r="G148" s="14">
        <f>(350+220)*H148</f>
        <v>9120</v>
      </c>
      <c r="H148" s="48">
        <v>16.0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42" t="s">
        <v>59</v>
      </c>
      <c r="B149" s="43">
        <v>14619.13</v>
      </c>
      <c r="C149" s="44">
        <f t="shared" si="47"/>
        <v>6700</v>
      </c>
      <c r="D149" s="45">
        <f t="shared" si="48"/>
        <v>7919.13</v>
      </c>
      <c r="E149" s="11">
        <f t="shared" si="49"/>
        <v>54.16963937</v>
      </c>
      <c r="F149" s="46">
        <f t="shared" si="50"/>
        <v>791.913</v>
      </c>
      <c r="G149" s="14">
        <f>(350+320)*H149</f>
        <v>6700</v>
      </c>
      <c r="H149" s="48">
        <v>10.0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3" t="s">
        <v>38</v>
      </c>
      <c r="B150" s="41">
        <f t="shared" ref="B150:C150" si="51">SUM(B135:B149)</f>
        <v>253137.18</v>
      </c>
      <c r="C150" s="41">
        <f t="shared" si="51"/>
        <v>103930</v>
      </c>
      <c r="D150" s="41">
        <f t="shared" si="48"/>
        <v>149207.18</v>
      </c>
      <c r="E150" s="3"/>
      <c r="F150" s="3"/>
      <c r="G150" s="41">
        <f t="shared" ref="G150:H150" si="52">SUM(G135:G149)</f>
        <v>103930</v>
      </c>
      <c r="H150" s="41">
        <f t="shared" si="52"/>
        <v>309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C151" s="70"/>
    </row>
    <row r="152">
      <c r="A152" s="31" t="s">
        <v>40</v>
      </c>
      <c r="B152" s="32">
        <f>B150</f>
        <v>253137.18</v>
      </c>
      <c r="C152" s="3"/>
      <c r="D152" s="30" t="s">
        <v>39</v>
      </c>
      <c r="E152" s="3"/>
    </row>
    <row r="153">
      <c r="A153" s="31" t="s">
        <v>41</v>
      </c>
      <c r="B153" s="32">
        <f>G150</f>
        <v>103930</v>
      </c>
      <c r="C153" s="3"/>
      <c r="D153" s="33" t="s">
        <v>41</v>
      </c>
      <c r="E153" s="34">
        <f>B153/H150</f>
        <v>336.3430421</v>
      </c>
    </row>
    <row r="154">
      <c r="A154" s="31" t="s">
        <v>74</v>
      </c>
      <c r="B154" s="32">
        <v>0.0</v>
      </c>
      <c r="C154" s="3"/>
      <c r="D154" s="33" t="s">
        <v>42</v>
      </c>
      <c r="E154" s="34">
        <f>B155</f>
        <v>0</v>
      </c>
    </row>
    <row r="155">
      <c r="A155" s="31" t="s">
        <v>75</v>
      </c>
      <c r="B155" s="32">
        <f>I149+J149</f>
        <v>0</v>
      </c>
      <c r="C155" s="3"/>
      <c r="D155" s="69" t="s">
        <v>43</v>
      </c>
      <c r="E155" s="34">
        <f>B154/H150</f>
        <v>0</v>
      </c>
    </row>
    <row r="156">
      <c r="A156" s="31" t="s">
        <v>62</v>
      </c>
      <c r="B156" s="32">
        <f>B152-SUM(B153:B155)</f>
        <v>149207.18</v>
      </c>
      <c r="C156" s="3"/>
      <c r="D156" s="33" t="s">
        <v>45</v>
      </c>
      <c r="E156" s="34">
        <f>B152/H150</f>
        <v>819.2141748</v>
      </c>
    </row>
    <row r="157">
      <c r="A157" s="31" t="s">
        <v>47</v>
      </c>
      <c r="B157" s="62">
        <f>B156/B152*100</f>
        <v>58.94321016</v>
      </c>
      <c r="C157" s="3"/>
      <c r="D157" s="3"/>
      <c r="E157" s="3"/>
    </row>
    <row r="158">
      <c r="C158" s="70"/>
    </row>
    <row r="159">
      <c r="C159" s="70"/>
    </row>
    <row r="160">
      <c r="C160" s="70"/>
    </row>
    <row r="161">
      <c r="C161" s="70"/>
    </row>
    <row r="162">
      <c r="A162" s="71" t="s">
        <v>79</v>
      </c>
      <c r="B162" s="72">
        <f>B25+B54+B82+B102+B122+B152</f>
        <v>9691933.76</v>
      </c>
      <c r="C162" s="73"/>
    </row>
    <row r="163">
      <c r="A163" s="74" t="s">
        <v>41</v>
      </c>
      <c r="B163" s="75">
        <f>B125+B106+B86+B55+B26+B153</f>
        <v>3436795</v>
      </c>
      <c r="C163" s="73"/>
    </row>
    <row r="164">
      <c r="A164" s="76" t="s">
        <v>80</v>
      </c>
      <c r="B164" s="77">
        <f>B162-B163</f>
        <v>6255138.76</v>
      </c>
      <c r="C164" s="73"/>
    </row>
    <row r="165">
      <c r="A165" s="71" t="s">
        <v>81</v>
      </c>
      <c r="B165" s="78">
        <f>B164/B162</f>
        <v>0.645396359</v>
      </c>
      <c r="C165" s="79"/>
    </row>
    <row r="166">
      <c r="A166" s="76" t="s">
        <v>82</v>
      </c>
      <c r="B166" s="77">
        <f>B27+B56+B87+B107+B126+B57</f>
        <v>1021580.7</v>
      </c>
      <c r="C166" s="80"/>
    </row>
    <row r="167">
      <c r="A167" s="81" t="s">
        <v>83</v>
      </c>
      <c r="B167" s="82">
        <f>B28+B58+B88+B108+B127+B155</f>
        <v>3866222</v>
      </c>
      <c r="C167" s="73"/>
    </row>
    <row r="168">
      <c r="A168" s="81" t="s">
        <v>84</v>
      </c>
      <c r="B168" s="82">
        <f>B164-B166-B167</f>
        <v>1367336.06</v>
      </c>
      <c r="C168" s="73"/>
    </row>
    <row r="169">
      <c r="A169" s="71" t="s">
        <v>85</v>
      </c>
      <c r="B169" s="78">
        <f>B168/B162</f>
        <v>0.1410797983</v>
      </c>
      <c r="C169" s="79"/>
    </row>
    <row r="170">
      <c r="A170" s="83" t="s">
        <v>86</v>
      </c>
      <c r="B170" s="84">
        <v>1200000.0</v>
      </c>
      <c r="C170" s="73"/>
    </row>
    <row r="171">
      <c r="A171" s="85" t="s">
        <v>87</v>
      </c>
      <c r="B171" s="86">
        <f>B163+B166+B167+B170</f>
        <v>9524597.7</v>
      </c>
      <c r="C171" s="73"/>
    </row>
    <row r="172">
      <c r="A172" s="87" t="s">
        <v>88</v>
      </c>
      <c r="B172" s="88">
        <f>B162-B171</f>
        <v>167336.06</v>
      </c>
      <c r="C172" s="73"/>
    </row>
    <row r="173">
      <c r="A173" s="71" t="s">
        <v>89</v>
      </c>
      <c r="B173" s="89">
        <f>B172/B162</f>
        <v>0.0172654977</v>
      </c>
      <c r="C173" s="80"/>
    </row>
    <row r="174">
      <c r="C174" s="70"/>
      <c r="F174" s="58"/>
    </row>
    <row r="175">
      <c r="C175" s="70"/>
      <c r="E175" s="60" t="s">
        <v>21</v>
      </c>
      <c r="F175" s="58">
        <f>B4+B36+B69+B98+B119+B135</f>
        <v>1806644</v>
      </c>
    </row>
    <row r="176">
      <c r="C176" s="70"/>
      <c r="E176" s="60" t="s">
        <v>23</v>
      </c>
      <c r="F176" s="58">
        <f>B6+B37+B70+B100+B121+B136</f>
        <v>1755398.52</v>
      </c>
    </row>
    <row r="177">
      <c r="C177" s="70"/>
      <c r="E177" s="60" t="s">
        <v>25</v>
      </c>
      <c r="F177" s="58">
        <f>B8+B38+B71+B137</f>
        <v>210395</v>
      </c>
    </row>
    <row r="178">
      <c r="C178" s="70"/>
      <c r="E178" s="60" t="s">
        <v>26</v>
      </c>
      <c r="F178" s="58">
        <f>B9+B39+B72+B99+B120+B138</f>
        <v>617979.44</v>
      </c>
    </row>
    <row r="179">
      <c r="C179" s="70"/>
      <c r="E179" s="60" t="s">
        <v>28</v>
      </c>
      <c r="F179" s="58">
        <f>B11+B40+B73+B139</f>
        <v>146982.24</v>
      </c>
    </row>
    <row r="180">
      <c r="C180" s="70"/>
      <c r="E180" s="60" t="s">
        <v>29</v>
      </c>
      <c r="F180" s="58">
        <f>B12+B41+B74+B101+B140</f>
        <v>1262945.34</v>
      </c>
    </row>
    <row r="181">
      <c r="A181" s="90" t="s">
        <v>90</v>
      </c>
      <c r="B181" s="91">
        <v>45772.0</v>
      </c>
      <c r="C181" s="70"/>
      <c r="E181" s="60" t="s">
        <v>31</v>
      </c>
      <c r="F181" s="58">
        <f>B14+B42+B75+B141</f>
        <v>188615.51</v>
      </c>
    </row>
    <row r="182">
      <c r="A182" s="92" t="s">
        <v>91</v>
      </c>
      <c r="B182" s="93">
        <f>SUM(B183:B189)</f>
        <v>8368</v>
      </c>
      <c r="C182" s="70"/>
      <c r="E182" s="60" t="s">
        <v>32</v>
      </c>
      <c r="F182" s="58">
        <f>B15+B43+B142</f>
        <v>145054</v>
      </c>
    </row>
    <row r="183">
      <c r="A183" s="28" t="s">
        <v>92</v>
      </c>
      <c r="B183" s="27">
        <f>K21</f>
        <v>4338</v>
      </c>
      <c r="C183" s="70"/>
      <c r="E183" s="60" t="s">
        <v>33</v>
      </c>
      <c r="F183" s="58">
        <f>B16+B44+B77+B144</f>
        <v>2762655.96</v>
      </c>
    </row>
    <row r="184">
      <c r="A184" s="28" t="s">
        <v>48</v>
      </c>
      <c r="B184" s="27">
        <f>I51</f>
        <v>2986</v>
      </c>
      <c r="C184" s="70"/>
      <c r="E184" s="60" t="s">
        <v>54</v>
      </c>
      <c r="F184" s="58">
        <f>B20+B45</f>
        <v>187890</v>
      </c>
    </row>
    <row r="185">
      <c r="A185" s="28" t="s">
        <v>64</v>
      </c>
      <c r="B185" s="27">
        <f>I82</f>
        <v>168</v>
      </c>
      <c r="E185" s="60" t="s">
        <v>93</v>
      </c>
      <c r="F185" s="58">
        <f>B5+B7+B10+B13+B17+B18+B19+B46+B47+B48+B49+B78+B79+B80+B81+B145+B146+B147+B148+B149</f>
        <v>600243.75</v>
      </c>
    </row>
    <row r="186">
      <c r="A186" s="28" t="s">
        <v>70</v>
      </c>
      <c r="B186" s="27">
        <f>H102</f>
        <v>369</v>
      </c>
      <c r="E186" s="60" t="s">
        <v>94</v>
      </c>
      <c r="F186" s="58">
        <f>B76</f>
        <v>7130</v>
      </c>
    </row>
    <row r="187">
      <c r="A187" s="28" t="s">
        <v>76</v>
      </c>
      <c r="B187" s="27">
        <f>H122</f>
        <v>198</v>
      </c>
      <c r="F187" s="58"/>
    </row>
    <row r="188">
      <c r="A188" s="28" t="s">
        <v>95</v>
      </c>
      <c r="B188" s="27">
        <f>H150</f>
        <v>309</v>
      </c>
      <c r="F188" s="58"/>
    </row>
    <row r="189">
      <c r="A189" s="28" t="s">
        <v>96</v>
      </c>
      <c r="B189" s="28"/>
      <c r="F189" s="58"/>
    </row>
    <row r="190">
      <c r="A190" s="92" t="s">
        <v>97</v>
      </c>
      <c r="B190" s="94">
        <f>SUM(B191:B197)</f>
        <v>9691933.76</v>
      </c>
      <c r="F190" s="58"/>
    </row>
    <row r="191">
      <c r="A191" s="28" t="s">
        <v>92</v>
      </c>
      <c r="B191" s="95">
        <f>B25</f>
        <v>6032974</v>
      </c>
    </row>
    <row r="192">
      <c r="A192" s="28" t="s">
        <v>48</v>
      </c>
      <c r="B192" s="95">
        <f>B54</f>
        <v>2824114.58</v>
      </c>
    </row>
    <row r="193">
      <c r="A193" s="28" t="s">
        <v>64</v>
      </c>
      <c r="B193" s="95">
        <f>B82</f>
        <v>201313</v>
      </c>
    </row>
    <row r="194">
      <c r="A194" s="28" t="s">
        <v>70</v>
      </c>
      <c r="B194" s="95">
        <f>B102</f>
        <v>241751</v>
      </c>
    </row>
    <row r="195">
      <c r="A195" s="28" t="s">
        <v>76</v>
      </c>
      <c r="B195" s="95">
        <f>B122</f>
        <v>138644</v>
      </c>
    </row>
    <row r="196">
      <c r="A196" s="28" t="s">
        <v>95</v>
      </c>
      <c r="B196" s="95">
        <f>B150</f>
        <v>253137.18</v>
      </c>
    </row>
    <row r="197">
      <c r="A197" s="28" t="s">
        <v>96</v>
      </c>
      <c r="B197" s="95"/>
    </row>
    <row r="198">
      <c r="A198" s="92" t="s">
        <v>98</v>
      </c>
      <c r="B198" s="94">
        <f>SUM(B199:B205)</f>
        <v>8653512.286</v>
      </c>
    </row>
    <row r="199">
      <c r="A199" s="28" t="s">
        <v>92</v>
      </c>
      <c r="B199" s="95">
        <f t="shared" ref="B199:B205" si="53">B191/1.12</f>
        <v>5386583.929</v>
      </c>
    </row>
    <row r="200">
      <c r="A200" s="28" t="s">
        <v>48</v>
      </c>
      <c r="B200" s="95">
        <f t="shared" si="53"/>
        <v>2521530.875</v>
      </c>
    </row>
    <row r="201">
      <c r="A201" s="28" t="s">
        <v>64</v>
      </c>
      <c r="B201" s="95">
        <f t="shared" si="53"/>
        <v>179743.75</v>
      </c>
    </row>
    <row r="202">
      <c r="A202" s="28" t="s">
        <v>70</v>
      </c>
      <c r="B202" s="95">
        <f t="shared" si="53"/>
        <v>215849.1071</v>
      </c>
    </row>
    <row r="203">
      <c r="A203" s="28" t="s">
        <v>76</v>
      </c>
      <c r="B203" s="95">
        <f t="shared" si="53"/>
        <v>123789.2857</v>
      </c>
    </row>
    <row r="204">
      <c r="A204" s="28" t="s">
        <v>95</v>
      </c>
      <c r="B204" s="95">
        <f t="shared" si="53"/>
        <v>226015.3393</v>
      </c>
    </row>
    <row r="205">
      <c r="A205" s="28" t="s">
        <v>96</v>
      </c>
      <c r="B205" s="95">
        <f t="shared" si="53"/>
        <v>0</v>
      </c>
    </row>
    <row r="206">
      <c r="A206" s="90" t="s">
        <v>41</v>
      </c>
      <c r="B206" s="96">
        <f>B163/1.18</f>
        <v>2912538.136</v>
      </c>
    </row>
    <row r="207">
      <c r="A207" s="90" t="s">
        <v>80</v>
      </c>
      <c r="B207" s="97">
        <f>B198-B206</f>
        <v>5740974.15</v>
      </c>
    </row>
    <row r="208">
      <c r="A208" s="92" t="s">
        <v>99</v>
      </c>
      <c r="B208" s="98">
        <f>B207/B198</f>
        <v>0.6634270526</v>
      </c>
    </row>
    <row r="209">
      <c r="A209" s="99" t="s">
        <v>100</v>
      </c>
      <c r="B209" s="100">
        <f>B27+B57+B87+B107+B126+B154</f>
        <v>562348.12</v>
      </c>
    </row>
    <row r="210">
      <c r="A210" s="99" t="s">
        <v>101</v>
      </c>
      <c r="B210" s="100">
        <f>B56</f>
        <v>459232.58</v>
      </c>
    </row>
    <row r="211">
      <c r="A211" s="101" t="s">
        <v>102</v>
      </c>
      <c r="B211" s="95">
        <f>B207-(B209+B210)</f>
        <v>4719393.45</v>
      </c>
    </row>
    <row r="212">
      <c r="A212" s="92" t="s">
        <v>103</v>
      </c>
      <c r="B212" s="98">
        <f>B211/B198</f>
        <v>0.5453731727</v>
      </c>
    </row>
    <row r="213">
      <c r="A213" s="28" t="s">
        <v>104</v>
      </c>
      <c r="B213" s="95">
        <f>B167/1.18</f>
        <v>3276459.322</v>
      </c>
    </row>
    <row r="214">
      <c r="A214" s="101" t="s">
        <v>105</v>
      </c>
      <c r="B214" s="95">
        <f>B211-B213</f>
        <v>1442934.128</v>
      </c>
    </row>
    <row r="215">
      <c r="A215" s="92" t="s">
        <v>106</v>
      </c>
      <c r="B215" s="102">
        <f>B214/B198</f>
        <v>0.1667454879</v>
      </c>
    </row>
    <row r="216">
      <c r="A216" s="28" t="s">
        <v>107</v>
      </c>
      <c r="B216" s="28">
        <v>650000.0</v>
      </c>
    </row>
    <row r="217">
      <c r="A217" s="28" t="s">
        <v>108</v>
      </c>
      <c r="B217" s="28">
        <v>400000.0</v>
      </c>
    </row>
    <row r="218">
      <c r="A218" s="28" t="s">
        <v>109</v>
      </c>
      <c r="B218" s="28">
        <v>70000.0</v>
      </c>
    </row>
    <row r="219">
      <c r="A219" s="28" t="s">
        <v>110</v>
      </c>
      <c r="B219" s="28">
        <v>18000.0</v>
      </c>
    </row>
    <row r="220">
      <c r="A220" s="28" t="s">
        <v>111</v>
      </c>
      <c r="B220" s="28">
        <v>62000.0</v>
      </c>
    </row>
    <row r="221">
      <c r="A221" s="101" t="s">
        <v>112</v>
      </c>
      <c r="B221" s="95">
        <f>B214-SUM(B216:B220)</f>
        <v>242934.1281</v>
      </c>
    </row>
    <row r="222">
      <c r="A222" s="92" t="s">
        <v>113</v>
      </c>
      <c r="B222" s="102">
        <f>B221/B198</f>
        <v>0.02807347122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5.25"/>
    <col customWidth="1" min="3" max="3" width="13.13"/>
    <col customWidth="1" min="5" max="5" width="12.88"/>
    <col customWidth="1" min="9" max="9" width="14.63"/>
    <col customWidth="1" min="14" max="14" width="13.75"/>
    <col customWidth="1" min="16" max="16" width="15.13"/>
    <col customWidth="1" min="17" max="17" width="11.38"/>
  </cols>
  <sheetData>
    <row r="1">
      <c r="A1" s="1" t="s">
        <v>114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</row>
    <row r="3">
      <c r="A3" s="5" t="s">
        <v>2</v>
      </c>
      <c r="B3" s="6" t="s">
        <v>3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11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</row>
    <row r="4">
      <c r="A4" s="5" t="s">
        <v>21</v>
      </c>
      <c r="B4" s="8">
        <v>549323.0</v>
      </c>
      <c r="C4" s="9">
        <f t="shared" ref="C4:C20" si="1">G4+J4+L4</f>
        <v>189912</v>
      </c>
      <c r="D4" s="10">
        <f t="shared" ref="D4:D20" si="2">B4-C4</f>
        <v>359411</v>
      </c>
      <c r="E4" s="11">
        <f t="shared" ref="E4:E20" si="3">D4/B4*100</f>
        <v>65.42799045</v>
      </c>
      <c r="F4" s="12">
        <f t="shared" ref="F4:F20" si="4">D4/K4</f>
        <v>660.6819853</v>
      </c>
      <c r="G4" s="13"/>
      <c r="H4" s="8">
        <v>594.0</v>
      </c>
      <c r="I4" s="8">
        <v>586.0</v>
      </c>
      <c r="J4" s="14">
        <f>250*K4</f>
        <v>136000</v>
      </c>
      <c r="K4" s="8">
        <v>544.0</v>
      </c>
      <c r="L4" s="15">
        <f t="shared" ref="L4:L20" si="5">I4*92</f>
        <v>53912</v>
      </c>
      <c r="M4" s="16">
        <f t="shared" ref="M4:M20" si="6">I4-K4-N4</f>
        <v>42</v>
      </c>
      <c r="N4" s="13"/>
      <c r="O4" s="17">
        <f t="shared" ref="O4:O20" si="7">M4/I4*100</f>
        <v>7.167235495</v>
      </c>
      <c r="P4" s="18">
        <f t="shared" ref="P4:P20" si="8">I4/H4*100</f>
        <v>98.65319865</v>
      </c>
      <c r="Q4" s="19">
        <f t="shared" ref="Q4:Q20" si="9">K4/I4*100</f>
        <v>92.83276451</v>
      </c>
      <c r="R4" s="12">
        <f t="shared" ref="R4:R20" si="10">G4/K4</f>
        <v>0</v>
      </c>
      <c r="S4" s="12">
        <f t="shared" ref="S4:S20" si="11">100-P4</f>
        <v>1.346801347</v>
      </c>
    </row>
    <row r="5">
      <c r="A5" s="5" t="s">
        <v>22</v>
      </c>
      <c r="B5" s="8">
        <v>11752.0</v>
      </c>
      <c r="C5" s="9">
        <f t="shared" si="1"/>
        <v>3552</v>
      </c>
      <c r="D5" s="10">
        <f t="shared" si="2"/>
        <v>8200</v>
      </c>
      <c r="E5" s="11">
        <f t="shared" si="3"/>
        <v>69.77535739</v>
      </c>
      <c r="F5" s="12">
        <f t="shared" si="4"/>
        <v>1366.666667</v>
      </c>
      <c r="G5" s="13"/>
      <c r="H5" s="8">
        <v>6.0</v>
      </c>
      <c r="I5" s="8">
        <v>6.0</v>
      </c>
      <c r="J5" s="14">
        <f>500*K5</f>
        <v>3000</v>
      </c>
      <c r="K5" s="8">
        <v>6.0</v>
      </c>
      <c r="L5" s="15">
        <f t="shared" si="5"/>
        <v>552</v>
      </c>
      <c r="M5" s="16">
        <f t="shared" si="6"/>
        <v>0</v>
      </c>
      <c r="N5" s="13"/>
      <c r="O5" s="17">
        <f t="shared" si="7"/>
        <v>0</v>
      </c>
      <c r="P5" s="18">
        <f t="shared" si="8"/>
        <v>100</v>
      </c>
      <c r="Q5" s="19">
        <f t="shared" si="9"/>
        <v>100</v>
      </c>
      <c r="R5" s="12">
        <f t="shared" si="10"/>
        <v>0</v>
      </c>
      <c r="S5" s="12">
        <f t="shared" si="11"/>
        <v>0</v>
      </c>
    </row>
    <row r="6">
      <c r="A6" s="5" t="s">
        <v>23</v>
      </c>
      <c r="B6" s="8">
        <v>460600.0</v>
      </c>
      <c r="C6" s="21">
        <f t="shared" si="1"/>
        <v>173096</v>
      </c>
      <c r="D6" s="22">
        <f t="shared" si="2"/>
        <v>287504</v>
      </c>
      <c r="E6" s="11">
        <f t="shared" si="3"/>
        <v>62.41945289</v>
      </c>
      <c r="F6" s="12">
        <f t="shared" si="4"/>
        <v>744.8290155</v>
      </c>
      <c r="G6" s="23"/>
      <c r="H6" s="8">
        <v>419.0</v>
      </c>
      <c r="I6" s="8">
        <v>413.0</v>
      </c>
      <c r="J6" s="14">
        <f>350*K6</f>
        <v>135100</v>
      </c>
      <c r="K6" s="8">
        <v>386.0</v>
      </c>
      <c r="L6" s="15">
        <f t="shared" si="5"/>
        <v>37996</v>
      </c>
      <c r="M6" s="16">
        <f t="shared" si="6"/>
        <v>27</v>
      </c>
      <c r="N6" s="13"/>
      <c r="O6" s="17">
        <f t="shared" si="7"/>
        <v>6.537530266</v>
      </c>
      <c r="P6" s="18">
        <f t="shared" si="8"/>
        <v>98.56801909</v>
      </c>
      <c r="Q6" s="19">
        <f t="shared" si="9"/>
        <v>93.46246973</v>
      </c>
      <c r="R6" s="12">
        <f t="shared" si="10"/>
        <v>0</v>
      </c>
      <c r="S6" s="12">
        <f t="shared" si="11"/>
        <v>1.431980907</v>
      </c>
    </row>
    <row r="7">
      <c r="A7" s="5" t="s">
        <v>24</v>
      </c>
      <c r="B7" s="8">
        <v>8758.0</v>
      </c>
      <c r="C7" s="21">
        <f t="shared" si="1"/>
        <v>3168</v>
      </c>
      <c r="D7" s="22">
        <f t="shared" si="2"/>
        <v>5590</v>
      </c>
      <c r="E7" s="11">
        <f t="shared" si="3"/>
        <v>63.82735784</v>
      </c>
      <c r="F7" s="12">
        <f t="shared" si="4"/>
        <v>1397.5</v>
      </c>
      <c r="G7" s="23"/>
      <c r="H7" s="8">
        <v>5.0</v>
      </c>
      <c r="I7" s="8">
        <v>4.0</v>
      </c>
      <c r="J7" s="14">
        <f>700*K7</f>
        <v>2800</v>
      </c>
      <c r="K7" s="8">
        <v>4.0</v>
      </c>
      <c r="L7" s="15">
        <f t="shared" si="5"/>
        <v>368</v>
      </c>
      <c r="M7" s="16">
        <f t="shared" si="6"/>
        <v>0</v>
      </c>
      <c r="N7" s="13"/>
      <c r="O7" s="17">
        <f t="shared" si="7"/>
        <v>0</v>
      </c>
      <c r="P7" s="18">
        <f t="shared" si="8"/>
        <v>80</v>
      </c>
      <c r="Q7" s="19">
        <f t="shared" si="9"/>
        <v>100</v>
      </c>
      <c r="R7" s="12">
        <f t="shared" si="10"/>
        <v>0</v>
      </c>
      <c r="S7" s="12">
        <f t="shared" si="11"/>
        <v>20</v>
      </c>
    </row>
    <row r="8">
      <c r="A8" s="5" t="s">
        <v>25</v>
      </c>
      <c r="B8" s="8">
        <v>33818.0</v>
      </c>
      <c r="C8" s="9">
        <f t="shared" si="1"/>
        <v>16632</v>
      </c>
      <c r="D8" s="10">
        <f t="shared" si="2"/>
        <v>17186</v>
      </c>
      <c r="E8" s="11">
        <f t="shared" si="3"/>
        <v>50.81909043</v>
      </c>
      <c r="F8" s="12">
        <f t="shared" si="4"/>
        <v>818.3809524</v>
      </c>
      <c r="G8" s="13"/>
      <c r="H8" s="8">
        <v>22.0</v>
      </c>
      <c r="I8" s="8">
        <v>21.0</v>
      </c>
      <c r="J8" s="14">
        <f> 700*K8</f>
        <v>14700</v>
      </c>
      <c r="K8" s="8">
        <v>21.0</v>
      </c>
      <c r="L8" s="15">
        <f t="shared" si="5"/>
        <v>1932</v>
      </c>
      <c r="M8" s="16">
        <f t="shared" si="6"/>
        <v>0</v>
      </c>
      <c r="N8" s="13"/>
      <c r="O8" s="17">
        <f t="shared" si="7"/>
        <v>0</v>
      </c>
      <c r="P8" s="18">
        <f t="shared" si="8"/>
        <v>95.45454545</v>
      </c>
      <c r="Q8" s="19">
        <f t="shared" si="9"/>
        <v>100</v>
      </c>
      <c r="R8" s="12">
        <f t="shared" si="10"/>
        <v>0</v>
      </c>
      <c r="S8" s="12">
        <f t="shared" si="11"/>
        <v>4.545454545</v>
      </c>
    </row>
    <row r="9">
      <c r="A9" s="5" t="s">
        <v>26</v>
      </c>
      <c r="B9" s="8">
        <v>170818.0</v>
      </c>
      <c r="C9" s="9">
        <f t="shared" si="1"/>
        <v>124804</v>
      </c>
      <c r="D9" s="10">
        <f t="shared" si="2"/>
        <v>46014</v>
      </c>
      <c r="E9" s="11">
        <f t="shared" si="3"/>
        <v>26.93744219</v>
      </c>
      <c r="F9" s="12">
        <f t="shared" si="4"/>
        <v>108.7801418</v>
      </c>
      <c r="G9" s="13"/>
      <c r="H9" s="8">
        <v>439.0</v>
      </c>
      <c r="I9" s="8">
        <v>437.0</v>
      </c>
      <c r="J9" s="14">
        <f>200*K9</f>
        <v>84600</v>
      </c>
      <c r="K9" s="8">
        <v>423.0</v>
      </c>
      <c r="L9" s="15">
        <f t="shared" si="5"/>
        <v>40204</v>
      </c>
      <c r="M9" s="16">
        <f t="shared" si="6"/>
        <v>14</v>
      </c>
      <c r="N9" s="13"/>
      <c r="O9" s="17">
        <f t="shared" si="7"/>
        <v>3.203661327</v>
      </c>
      <c r="P9" s="18">
        <f t="shared" si="8"/>
        <v>99.54441913</v>
      </c>
      <c r="Q9" s="19">
        <f t="shared" si="9"/>
        <v>96.79633867</v>
      </c>
      <c r="R9" s="12">
        <f t="shared" si="10"/>
        <v>0</v>
      </c>
      <c r="S9" s="12">
        <f t="shared" si="11"/>
        <v>0.4555808656</v>
      </c>
    </row>
    <row r="10">
      <c r="A10" s="5" t="s">
        <v>27</v>
      </c>
      <c r="B10" s="8">
        <v>41284.0</v>
      </c>
      <c r="C10" s="9">
        <f t="shared" si="1"/>
        <v>25092</v>
      </c>
      <c r="D10" s="10">
        <f t="shared" si="2"/>
        <v>16192</v>
      </c>
      <c r="E10" s="11">
        <f t="shared" si="3"/>
        <v>39.22100572</v>
      </c>
      <c r="F10" s="12">
        <f t="shared" si="4"/>
        <v>317.4901961</v>
      </c>
      <c r="G10" s="13"/>
      <c r="H10" s="8">
        <v>52.0</v>
      </c>
      <c r="I10" s="8">
        <v>51.0</v>
      </c>
      <c r="J10" s="14">
        <f>400*K10</f>
        <v>20400</v>
      </c>
      <c r="K10" s="8">
        <v>51.0</v>
      </c>
      <c r="L10" s="15">
        <f t="shared" si="5"/>
        <v>4692</v>
      </c>
      <c r="M10" s="16">
        <f t="shared" si="6"/>
        <v>0</v>
      </c>
      <c r="N10" s="13"/>
      <c r="O10" s="17">
        <f t="shared" si="7"/>
        <v>0</v>
      </c>
      <c r="P10" s="18">
        <f t="shared" si="8"/>
        <v>98.07692308</v>
      </c>
      <c r="Q10" s="19">
        <f t="shared" si="9"/>
        <v>100</v>
      </c>
      <c r="R10" s="12">
        <f t="shared" si="10"/>
        <v>0</v>
      </c>
      <c r="S10" s="12">
        <f t="shared" si="11"/>
        <v>1.923076923</v>
      </c>
    </row>
    <row r="11">
      <c r="A11" s="5" t="s">
        <v>28</v>
      </c>
      <c r="B11" s="8">
        <v>64141.0</v>
      </c>
      <c r="C11" s="9">
        <f t="shared" si="1"/>
        <v>22520</v>
      </c>
      <c r="D11" s="10">
        <f t="shared" si="2"/>
        <v>41621</v>
      </c>
      <c r="E11" s="11">
        <f t="shared" si="3"/>
        <v>64.88985204</v>
      </c>
      <c r="F11" s="12">
        <f t="shared" si="4"/>
        <v>586.2112676</v>
      </c>
      <c r="G11" s="13"/>
      <c r="H11" s="8">
        <v>91.0</v>
      </c>
      <c r="I11" s="8">
        <v>75.0</v>
      </c>
      <c r="J11" s="14">
        <f>220*K11</f>
        <v>15620</v>
      </c>
      <c r="K11" s="8">
        <v>71.0</v>
      </c>
      <c r="L11" s="15">
        <f t="shared" si="5"/>
        <v>6900</v>
      </c>
      <c r="M11" s="16">
        <f t="shared" si="6"/>
        <v>4</v>
      </c>
      <c r="N11" s="13"/>
      <c r="O11" s="17">
        <f t="shared" si="7"/>
        <v>5.333333333</v>
      </c>
      <c r="P11" s="18">
        <f t="shared" si="8"/>
        <v>82.41758242</v>
      </c>
      <c r="Q11" s="19">
        <f t="shared" si="9"/>
        <v>94.66666667</v>
      </c>
      <c r="R11" s="12">
        <f t="shared" si="10"/>
        <v>0</v>
      </c>
      <c r="S11" s="12">
        <f t="shared" si="11"/>
        <v>17.58241758</v>
      </c>
    </row>
    <row r="12">
      <c r="A12" s="5" t="s">
        <v>29</v>
      </c>
      <c r="B12" s="8">
        <v>852560.0</v>
      </c>
      <c r="C12" s="9">
        <f t="shared" si="1"/>
        <v>327316</v>
      </c>
      <c r="D12" s="10">
        <f t="shared" si="2"/>
        <v>525244</v>
      </c>
      <c r="E12" s="11">
        <f t="shared" si="3"/>
        <v>61.60786338</v>
      </c>
      <c r="F12" s="12">
        <f t="shared" si="4"/>
        <v>717.5464481</v>
      </c>
      <c r="G12" s="13"/>
      <c r="H12" s="8">
        <v>802.0</v>
      </c>
      <c r="I12" s="8">
        <v>773.0</v>
      </c>
      <c r="J12" s="14">
        <f>350*K12</f>
        <v>256200</v>
      </c>
      <c r="K12" s="8">
        <v>732.0</v>
      </c>
      <c r="L12" s="15">
        <f t="shared" si="5"/>
        <v>71116</v>
      </c>
      <c r="M12" s="16">
        <f t="shared" si="6"/>
        <v>41</v>
      </c>
      <c r="N12" s="13"/>
      <c r="O12" s="17">
        <f t="shared" si="7"/>
        <v>5.304010349</v>
      </c>
      <c r="P12" s="18">
        <f t="shared" si="8"/>
        <v>96.3840399</v>
      </c>
      <c r="Q12" s="19">
        <f t="shared" si="9"/>
        <v>94.69598965</v>
      </c>
      <c r="R12" s="12">
        <f t="shared" si="10"/>
        <v>0</v>
      </c>
      <c r="S12" s="12">
        <f t="shared" si="11"/>
        <v>3.6159601</v>
      </c>
    </row>
    <row r="13">
      <c r="A13" s="5" t="s">
        <v>30</v>
      </c>
      <c r="B13" s="8">
        <v>22186.0</v>
      </c>
      <c r="C13" s="9">
        <f t="shared" si="1"/>
        <v>7920</v>
      </c>
      <c r="D13" s="10">
        <f t="shared" si="2"/>
        <v>14266</v>
      </c>
      <c r="E13" s="11">
        <f t="shared" si="3"/>
        <v>64.30181195</v>
      </c>
      <c r="F13" s="12">
        <f t="shared" si="4"/>
        <v>1426.6</v>
      </c>
      <c r="G13" s="13"/>
      <c r="H13" s="8">
        <v>10.0</v>
      </c>
      <c r="I13" s="8">
        <v>10.0</v>
      </c>
      <c r="J13" s="14">
        <f>700*K13</f>
        <v>7000</v>
      </c>
      <c r="K13" s="8">
        <v>10.0</v>
      </c>
      <c r="L13" s="15">
        <f t="shared" si="5"/>
        <v>920</v>
      </c>
      <c r="M13" s="16">
        <f t="shared" si="6"/>
        <v>0</v>
      </c>
      <c r="N13" s="13"/>
      <c r="O13" s="17">
        <f t="shared" si="7"/>
        <v>0</v>
      </c>
      <c r="P13" s="18">
        <f t="shared" si="8"/>
        <v>100</v>
      </c>
      <c r="Q13" s="19">
        <f t="shared" si="9"/>
        <v>100</v>
      </c>
      <c r="R13" s="12">
        <f t="shared" si="10"/>
        <v>0</v>
      </c>
      <c r="S13" s="12">
        <f t="shared" si="11"/>
        <v>0</v>
      </c>
    </row>
    <row r="14">
      <c r="A14" s="5" t="s">
        <v>31</v>
      </c>
      <c r="B14" s="8">
        <v>111760.0</v>
      </c>
      <c r="C14" s="21">
        <f t="shared" si="1"/>
        <v>64304</v>
      </c>
      <c r="D14" s="22">
        <f t="shared" si="2"/>
        <v>47456</v>
      </c>
      <c r="E14" s="11">
        <f t="shared" si="3"/>
        <v>42.46241947</v>
      </c>
      <c r="F14" s="12">
        <f t="shared" si="4"/>
        <v>439.4074074</v>
      </c>
      <c r="G14" s="23"/>
      <c r="H14" s="8">
        <v>113.0</v>
      </c>
      <c r="I14" s="8">
        <v>112.0</v>
      </c>
      <c r="J14" s="14">
        <f>500*K14</f>
        <v>54000</v>
      </c>
      <c r="K14" s="8">
        <v>108.0</v>
      </c>
      <c r="L14" s="15">
        <f t="shared" si="5"/>
        <v>10304</v>
      </c>
      <c r="M14" s="16">
        <f t="shared" si="6"/>
        <v>4</v>
      </c>
      <c r="N14" s="13"/>
      <c r="O14" s="17">
        <f t="shared" si="7"/>
        <v>3.571428571</v>
      </c>
      <c r="P14" s="18">
        <f t="shared" si="8"/>
        <v>99.11504425</v>
      </c>
      <c r="Q14" s="19">
        <f t="shared" si="9"/>
        <v>96.42857143</v>
      </c>
      <c r="R14" s="12">
        <f t="shared" si="10"/>
        <v>0</v>
      </c>
      <c r="S14" s="12">
        <f t="shared" si="11"/>
        <v>0.8849557522</v>
      </c>
    </row>
    <row r="15">
      <c r="A15" s="5" t="s">
        <v>32</v>
      </c>
      <c r="B15" s="8">
        <v>25724.0</v>
      </c>
      <c r="C15" s="21">
        <f t="shared" si="1"/>
        <v>11880</v>
      </c>
      <c r="D15" s="22">
        <f t="shared" si="2"/>
        <v>13844</v>
      </c>
      <c r="E15" s="11">
        <f t="shared" si="3"/>
        <v>53.81744674</v>
      </c>
      <c r="F15" s="12">
        <f t="shared" si="4"/>
        <v>922.9333333</v>
      </c>
      <c r="G15" s="23"/>
      <c r="H15" s="8">
        <v>16.0</v>
      </c>
      <c r="I15" s="8">
        <v>15.0</v>
      </c>
      <c r="J15" s="14">
        <f>700*K15</f>
        <v>10500</v>
      </c>
      <c r="K15" s="8">
        <v>15.0</v>
      </c>
      <c r="L15" s="15">
        <f t="shared" si="5"/>
        <v>1380</v>
      </c>
      <c r="M15" s="16">
        <f t="shared" si="6"/>
        <v>0</v>
      </c>
      <c r="N15" s="13"/>
      <c r="O15" s="17">
        <f t="shared" si="7"/>
        <v>0</v>
      </c>
      <c r="P15" s="18">
        <f t="shared" si="8"/>
        <v>93.75</v>
      </c>
      <c r="Q15" s="19">
        <f t="shared" si="9"/>
        <v>100</v>
      </c>
      <c r="R15" s="12">
        <f t="shared" si="10"/>
        <v>0</v>
      </c>
      <c r="S15" s="12">
        <f t="shared" si="11"/>
        <v>6.25</v>
      </c>
    </row>
    <row r="16">
      <c r="A16" s="5" t="s">
        <v>33</v>
      </c>
      <c r="B16" s="8">
        <v>1250257.0</v>
      </c>
      <c r="C16" s="21">
        <f t="shared" si="1"/>
        <v>665312</v>
      </c>
      <c r="D16" s="22">
        <f t="shared" si="2"/>
        <v>584945</v>
      </c>
      <c r="E16" s="11">
        <f t="shared" si="3"/>
        <v>46.7859808</v>
      </c>
      <c r="F16" s="12">
        <f t="shared" si="4"/>
        <v>880.9412651</v>
      </c>
      <c r="G16" s="23"/>
      <c r="H16" s="8">
        <v>752.0</v>
      </c>
      <c r="I16" s="8">
        <v>736.0</v>
      </c>
      <c r="J16" s="14">
        <f>900*K16</f>
        <v>597600</v>
      </c>
      <c r="K16" s="8">
        <v>664.0</v>
      </c>
      <c r="L16" s="15">
        <f t="shared" si="5"/>
        <v>67712</v>
      </c>
      <c r="M16" s="16">
        <f t="shared" si="6"/>
        <v>72</v>
      </c>
      <c r="N16" s="13"/>
      <c r="O16" s="17">
        <f t="shared" si="7"/>
        <v>9.782608696</v>
      </c>
      <c r="P16" s="18">
        <f t="shared" si="8"/>
        <v>97.87234043</v>
      </c>
      <c r="Q16" s="19">
        <f t="shared" si="9"/>
        <v>90.2173913</v>
      </c>
      <c r="R16" s="12">
        <f t="shared" si="10"/>
        <v>0</v>
      </c>
      <c r="S16" s="12">
        <f t="shared" si="11"/>
        <v>2.127659574</v>
      </c>
    </row>
    <row r="17">
      <c r="A17" s="5" t="s">
        <v>34</v>
      </c>
      <c r="B17" s="8">
        <f>46937+4211</f>
        <v>51148</v>
      </c>
      <c r="C17" s="21">
        <f t="shared" si="1"/>
        <v>28380</v>
      </c>
      <c r="D17" s="22">
        <f t="shared" si="2"/>
        <v>22768</v>
      </c>
      <c r="E17" s="11">
        <f t="shared" si="3"/>
        <v>44.51395949</v>
      </c>
      <c r="F17" s="12">
        <f t="shared" si="4"/>
        <v>1517.866667</v>
      </c>
      <c r="G17" s="23"/>
      <c r="H17" s="8">
        <v>15.0</v>
      </c>
      <c r="I17" s="8">
        <v>15.0</v>
      </c>
      <c r="J17" s="14">
        <f>1800*K17</f>
        <v>27000</v>
      </c>
      <c r="K17" s="8">
        <v>15.0</v>
      </c>
      <c r="L17" s="15">
        <f t="shared" si="5"/>
        <v>1380</v>
      </c>
      <c r="M17" s="16">
        <f t="shared" si="6"/>
        <v>0</v>
      </c>
      <c r="N17" s="13"/>
      <c r="O17" s="17">
        <f t="shared" si="7"/>
        <v>0</v>
      </c>
      <c r="P17" s="18">
        <f t="shared" si="8"/>
        <v>100</v>
      </c>
      <c r="Q17" s="19">
        <f t="shared" si="9"/>
        <v>100</v>
      </c>
      <c r="R17" s="12">
        <f t="shared" si="10"/>
        <v>0</v>
      </c>
      <c r="S17" s="12">
        <f t="shared" si="11"/>
        <v>0</v>
      </c>
    </row>
    <row r="18">
      <c r="A18" s="5" t="s">
        <v>35</v>
      </c>
      <c r="B18" s="8">
        <v>134699.0</v>
      </c>
      <c r="C18" s="21">
        <f t="shared" si="1"/>
        <v>50688</v>
      </c>
      <c r="D18" s="22">
        <f t="shared" si="2"/>
        <v>84011</v>
      </c>
      <c r="E18" s="11">
        <f t="shared" si="3"/>
        <v>62.3694311</v>
      </c>
      <c r="F18" s="12">
        <f t="shared" si="4"/>
        <v>1312.671875</v>
      </c>
      <c r="G18" s="23"/>
      <c r="H18" s="8">
        <v>65.0</v>
      </c>
      <c r="I18" s="8">
        <v>64.0</v>
      </c>
      <c r="J18" s="14">
        <f>K18*700</f>
        <v>44800</v>
      </c>
      <c r="K18" s="8">
        <v>64.0</v>
      </c>
      <c r="L18" s="15">
        <f t="shared" si="5"/>
        <v>5888</v>
      </c>
      <c r="M18" s="16">
        <f t="shared" si="6"/>
        <v>0</v>
      </c>
      <c r="N18" s="13"/>
      <c r="O18" s="17">
        <f t="shared" si="7"/>
        <v>0</v>
      </c>
      <c r="P18" s="18">
        <f t="shared" si="8"/>
        <v>98.46153846</v>
      </c>
      <c r="Q18" s="19">
        <f t="shared" si="9"/>
        <v>100</v>
      </c>
      <c r="R18" s="12">
        <f t="shared" si="10"/>
        <v>0</v>
      </c>
      <c r="S18" s="12">
        <f t="shared" si="11"/>
        <v>1.538461538</v>
      </c>
    </row>
    <row r="19">
      <c r="A19" s="5" t="s">
        <v>36</v>
      </c>
      <c r="B19" s="8">
        <v>27054.0</v>
      </c>
      <c r="C19" s="21">
        <f t="shared" si="1"/>
        <v>9738</v>
      </c>
      <c r="D19" s="22">
        <f t="shared" si="2"/>
        <v>17316</v>
      </c>
      <c r="E19" s="11">
        <f t="shared" si="3"/>
        <v>64.00532269</v>
      </c>
      <c r="F19" s="12">
        <f t="shared" si="4"/>
        <v>1332</v>
      </c>
      <c r="G19" s="23"/>
      <c r="H19" s="8">
        <v>15.0</v>
      </c>
      <c r="I19" s="8">
        <v>14.0</v>
      </c>
      <c r="J19" s="14">
        <f>K19*650</f>
        <v>8450</v>
      </c>
      <c r="K19" s="8">
        <v>13.0</v>
      </c>
      <c r="L19" s="15">
        <f t="shared" si="5"/>
        <v>1288</v>
      </c>
      <c r="M19" s="16">
        <f t="shared" si="6"/>
        <v>1</v>
      </c>
      <c r="N19" s="13"/>
      <c r="O19" s="17">
        <f t="shared" si="7"/>
        <v>7.142857143</v>
      </c>
      <c r="P19" s="18">
        <f t="shared" si="8"/>
        <v>93.33333333</v>
      </c>
      <c r="Q19" s="19">
        <f t="shared" si="9"/>
        <v>92.85714286</v>
      </c>
      <c r="R19" s="12">
        <f t="shared" si="10"/>
        <v>0</v>
      </c>
      <c r="S19" s="12">
        <f t="shared" si="11"/>
        <v>6.666666667</v>
      </c>
    </row>
    <row r="20">
      <c r="A20" s="5" t="s">
        <v>37</v>
      </c>
      <c r="B20" s="8">
        <v>162000.0</v>
      </c>
      <c r="C20" s="21">
        <f t="shared" si="1"/>
        <v>102680</v>
      </c>
      <c r="D20" s="22">
        <f t="shared" si="2"/>
        <v>59320</v>
      </c>
      <c r="E20" s="11">
        <f t="shared" si="3"/>
        <v>36.61728395</v>
      </c>
      <c r="F20" s="12">
        <f t="shared" si="4"/>
        <v>227.2796935</v>
      </c>
      <c r="G20" s="23"/>
      <c r="H20" s="8">
        <v>265.0</v>
      </c>
      <c r="I20" s="8">
        <v>265.0</v>
      </c>
      <c r="J20" s="14">
        <f>K20*300</f>
        <v>78300</v>
      </c>
      <c r="K20" s="8">
        <v>261.0</v>
      </c>
      <c r="L20" s="15">
        <f t="shared" si="5"/>
        <v>24380</v>
      </c>
      <c r="M20" s="16">
        <f t="shared" si="6"/>
        <v>4</v>
      </c>
      <c r="N20" s="13"/>
      <c r="O20" s="17">
        <f t="shared" si="7"/>
        <v>1.509433962</v>
      </c>
      <c r="P20" s="18">
        <f t="shared" si="8"/>
        <v>100</v>
      </c>
      <c r="Q20" s="19">
        <f t="shared" si="9"/>
        <v>98.49056604</v>
      </c>
      <c r="R20" s="12">
        <f t="shared" si="10"/>
        <v>0</v>
      </c>
      <c r="S20" s="12">
        <f t="shared" si="11"/>
        <v>0</v>
      </c>
    </row>
    <row r="21">
      <c r="A21" s="24" t="s">
        <v>38</v>
      </c>
      <c r="B21" s="25">
        <f>SUM(B4:B20)</f>
        <v>3977882</v>
      </c>
      <c r="C21" s="25"/>
      <c r="D21" s="25">
        <f>SUM(D4:D20)</f>
        <v>2150888</v>
      </c>
      <c r="E21" s="26"/>
      <c r="F21" s="26"/>
      <c r="G21" s="27">
        <v>2036423.0</v>
      </c>
      <c r="H21" s="25">
        <f t="shared" ref="H21:N21" si="12">SUM(H4:H20)</f>
        <v>3681</v>
      </c>
      <c r="I21" s="25">
        <f t="shared" si="12"/>
        <v>3597</v>
      </c>
      <c r="J21" s="25">
        <f t="shared" si="12"/>
        <v>1496070</v>
      </c>
      <c r="K21" s="25">
        <f t="shared" si="12"/>
        <v>3388</v>
      </c>
      <c r="L21" s="25">
        <f t="shared" si="12"/>
        <v>330924</v>
      </c>
      <c r="M21" s="25">
        <f t="shared" si="12"/>
        <v>209</v>
      </c>
      <c r="N21" s="25">
        <f t="shared" si="12"/>
        <v>0</v>
      </c>
      <c r="O21" s="28"/>
      <c r="P21" s="28"/>
      <c r="Q21" s="28"/>
      <c r="R21" s="29">
        <f>SUM(R4:R20)</f>
        <v>0</v>
      </c>
      <c r="S21" s="28"/>
    </row>
    <row r="24">
      <c r="A24" s="30"/>
      <c r="B24" s="3"/>
      <c r="C24" s="3"/>
      <c r="D24" s="30" t="s">
        <v>39</v>
      </c>
      <c r="E24" s="3"/>
      <c r="I24" s="103" t="s">
        <v>115</v>
      </c>
      <c r="J24" s="104">
        <v>1.0</v>
      </c>
      <c r="K24" s="105">
        <v>1174.0</v>
      </c>
    </row>
    <row r="25">
      <c r="A25" s="31" t="s">
        <v>40</v>
      </c>
      <c r="B25" s="106">
        <f>B21</f>
        <v>3977882</v>
      </c>
      <c r="C25" s="3"/>
      <c r="D25" s="33" t="s">
        <v>41</v>
      </c>
      <c r="E25" s="34">
        <f>B27/K21</f>
        <v>441.5791027</v>
      </c>
      <c r="I25" s="107" t="s">
        <v>41</v>
      </c>
      <c r="J25" s="108">
        <v>0.37</v>
      </c>
      <c r="K25" s="109">
        <f>K24*37%</f>
        <v>434.38</v>
      </c>
    </row>
    <row r="26">
      <c r="A26" s="31" t="s">
        <v>116</v>
      </c>
      <c r="B26" s="32">
        <f>K21</f>
        <v>3388</v>
      </c>
      <c r="C26" s="3"/>
      <c r="D26" s="33"/>
      <c r="E26" s="34"/>
      <c r="G26" s="60">
        <f>B27/B25*100</f>
        <v>37.60971291</v>
      </c>
      <c r="I26" s="107" t="s">
        <v>117</v>
      </c>
      <c r="J26" s="110">
        <v>0.09</v>
      </c>
      <c r="K26" s="109">
        <f>K24*J26</f>
        <v>105.66</v>
      </c>
    </row>
    <row r="27">
      <c r="A27" s="31" t="s">
        <v>41</v>
      </c>
      <c r="B27" s="106">
        <f>J21</f>
        <v>1496070</v>
      </c>
      <c r="C27" s="35"/>
      <c r="D27" s="33" t="s">
        <v>42</v>
      </c>
      <c r="E27" s="34">
        <f>B29/K21</f>
        <v>601.0693625</v>
      </c>
      <c r="G27" s="60">
        <f>B28/B25*100</f>
        <v>8.319100466</v>
      </c>
      <c r="I27" s="107" t="s">
        <v>44</v>
      </c>
      <c r="J27" s="108">
        <v>0.51</v>
      </c>
      <c r="K27" s="109">
        <f>K24*J27</f>
        <v>598.74</v>
      </c>
    </row>
    <row r="28">
      <c r="A28" s="31" t="s">
        <v>43</v>
      </c>
      <c r="B28" s="106">
        <f>L21</f>
        <v>330924</v>
      </c>
      <c r="C28" s="35"/>
      <c r="D28" s="33" t="s">
        <v>43</v>
      </c>
      <c r="E28" s="34">
        <v>92.0</v>
      </c>
      <c r="G28" s="60">
        <f>B29/B25*100</f>
        <v>51.19365029</v>
      </c>
      <c r="I28" s="111" t="s">
        <v>118</v>
      </c>
      <c r="J28" s="112">
        <v>0.03</v>
      </c>
      <c r="K28" s="109">
        <v>38.0</v>
      </c>
      <c r="W28" s="113"/>
    </row>
    <row r="29">
      <c r="A29" s="31" t="s">
        <v>44</v>
      </c>
      <c r="B29" s="106">
        <f>G21</f>
        <v>2036423</v>
      </c>
      <c r="C29" s="35"/>
      <c r="D29" s="33" t="s">
        <v>45</v>
      </c>
      <c r="E29" s="34">
        <f>B25/K21</f>
        <v>1174.109209</v>
      </c>
      <c r="W29" s="113"/>
    </row>
    <row r="30">
      <c r="A30" s="31" t="s">
        <v>46</v>
      </c>
      <c r="B30" s="106">
        <f>B25-(B27+B28+B29)</f>
        <v>114465</v>
      </c>
      <c r="C30" s="37"/>
      <c r="D30" s="3"/>
      <c r="E30" s="3"/>
      <c r="W30" s="113"/>
    </row>
    <row r="31">
      <c r="A31" s="31" t="s">
        <v>47</v>
      </c>
      <c r="B31" s="114">
        <v>0.03</v>
      </c>
      <c r="C31" s="3"/>
      <c r="D31" s="3"/>
      <c r="E31" s="3"/>
    </row>
    <row r="34">
      <c r="A34" s="1" t="s">
        <v>114</v>
      </c>
      <c r="B34" s="2" t="s">
        <v>48</v>
      </c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>
      <c r="A36" s="38" t="s">
        <v>49</v>
      </c>
      <c r="B36" s="24" t="s">
        <v>3</v>
      </c>
      <c r="C36" s="24" t="s">
        <v>4</v>
      </c>
      <c r="D36" s="24" t="s">
        <v>5</v>
      </c>
      <c r="E36" s="39" t="s">
        <v>6</v>
      </c>
      <c r="F36" s="24" t="s">
        <v>7</v>
      </c>
      <c r="G36" s="24" t="s">
        <v>9</v>
      </c>
      <c r="H36" s="24" t="s">
        <v>11</v>
      </c>
      <c r="I36" s="24" t="s">
        <v>12</v>
      </c>
      <c r="J36" s="24" t="s">
        <v>50</v>
      </c>
      <c r="K36" s="24" t="s">
        <v>51</v>
      </c>
      <c r="L36" s="39" t="s">
        <v>16</v>
      </c>
      <c r="M36" s="24" t="s">
        <v>52</v>
      </c>
      <c r="N36" s="40" t="s">
        <v>53</v>
      </c>
    </row>
    <row r="37">
      <c r="A37" s="42" t="s">
        <v>21</v>
      </c>
      <c r="B37" s="43">
        <f>737727+35043.52+16470.88</f>
        <v>789241.4</v>
      </c>
      <c r="C37" s="44">
        <f t="shared" ref="C37:C52" si="13">K37+H37</f>
        <v>488123.7</v>
      </c>
      <c r="D37" s="45">
        <f t="shared" ref="D37:D53" si="14">B37-C37</f>
        <v>301117.7</v>
      </c>
      <c r="E37" s="11">
        <f t="shared" ref="E37:E52" si="15">D37/B37*100</f>
        <v>38.1528009</v>
      </c>
      <c r="F37" s="46">
        <f t="shared" ref="F37:F52" si="16">D37/I37</f>
        <v>371.2918619</v>
      </c>
      <c r="G37" s="47">
        <f>823+29+8</f>
        <v>860</v>
      </c>
      <c r="H37" s="14">
        <f>250*I37</f>
        <v>202750</v>
      </c>
      <c r="I37" s="48">
        <f>776+27+8</f>
        <v>811</v>
      </c>
      <c r="J37" s="14">
        <f t="shared" ref="J37:J39" si="17">G37-I37</f>
        <v>49</v>
      </c>
      <c r="K37" s="49">
        <f>16164.28+266484.18 +2725.24 </f>
        <v>285373.7</v>
      </c>
      <c r="L37" s="50">
        <f t="shared" ref="L37:L52" si="18">J37/G37*100</f>
        <v>5.697674419</v>
      </c>
      <c r="M37" s="51">
        <f>  152094.75 +28728.79+  1254.68 </f>
        <v>182078.22</v>
      </c>
      <c r="N37" s="52">
        <f>J37*999</f>
        <v>48951</v>
      </c>
    </row>
    <row r="38">
      <c r="A38" s="42" t="s">
        <v>23</v>
      </c>
      <c r="B38" s="43">
        <f>66559.67+475798+2898</f>
        <v>545255.67</v>
      </c>
      <c r="C38" s="44">
        <f t="shared" si="13"/>
        <v>287411.48</v>
      </c>
      <c r="D38" s="45">
        <f t="shared" si="14"/>
        <v>257844.19</v>
      </c>
      <c r="E38" s="11">
        <f t="shared" si="15"/>
        <v>47.28867652</v>
      </c>
      <c r="F38" s="46">
        <f t="shared" si="16"/>
        <v>538.2968476</v>
      </c>
      <c r="G38" s="47">
        <f>467+52</f>
        <v>519</v>
      </c>
      <c r="H38" s="14">
        <f>350*I38</f>
        <v>167650</v>
      </c>
      <c r="I38" s="48">
        <f>430+47+2</f>
        <v>479</v>
      </c>
      <c r="J38" s="14">
        <f t="shared" si="17"/>
        <v>40</v>
      </c>
      <c r="K38" s="49">
        <f>23980.81+95224.67 +556 </f>
        <v>119761.48</v>
      </c>
      <c r="L38" s="50">
        <f t="shared" si="18"/>
        <v>7.707129094</v>
      </c>
      <c r="M38" s="51">
        <f>  11950.9 +  125741.64 +  13734 </f>
        <v>151426.54</v>
      </c>
      <c r="N38" s="52">
        <f>J38*1119</f>
        <v>44760</v>
      </c>
    </row>
    <row r="39">
      <c r="A39" s="42" t="s">
        <v>25</v>
      </c>
      <c r="B39" s="43">
        <f>5097</f>
        <v>5097</v>
      </c>
      <c r="C39" s="44">
        <f t="shared" si="13"/>
        <v>3514.17</v>
      </c>
      <c r="D39" s="45">
        <f t="shared" si="14"/>
        <v>1582.83</v>
      </c>
      <c r="E39" s="11">
        <f t="shared" si="15"/>
        <v>31.0541495</v>
      </c>
      <c r="F39" s="46">
        <f t="shared" si="16"/>
        <v>527.61</v>
      </c>
      <c r="G39" s="47">
        <v>3.0</v>
      </c>
      <c r="H39" s="14">
        <f> 900*I39</f>
        <v>2700</v>
      </c>
      <c r="I39" s="48">
        <v>3.0</v>
      </c>
      <c r="J39" s="14">
        <f t="shared" si="17"/>
        <v>0</v>
      </c>
      <c r="K39" s="49">
        <f>814.17</f>
        <v>814.17</v>
      </c>
      <c r="L39" s="50">
        <f t="shared" si="18"/>
        <v>0</v>
      </c>
      <c r="M39" s="51">
        <v>0.0</v>
      </c>
      <c r="N39" s="52">
        <f>J39*1799</f>
        <v>0</v>
      </c>
    </row>
    <row r="40">
      <c r="A40" s="42" t="s">
        <v>26</v>
      </c>
      <c r="B40" s="43">
        <f>418231+10374.16+4992.32+5202.65</f>
        <v>438800.13</v>
      </c>
      <c r="C40" s="44">
        <f t="shared" si="13"/>
        <v>408206.65</v>
      </c>
      <c r="D40" s="45">
        <f t="shared" si="14"/>
        <v>30593.48</v>
      </c>
      <c r="E40" s="11">
        <f t="shared" si="15"/>
        <v>6.97207633</v>
      </c>
      <c r="F40" s="46">
        <f t="shared" si="16"/>
        <v>31.31369498</v>
      </c>
      <c r="G40" s="47">
        <f>997+18+4+5</f>
        <v>1024</v>
      </c>
      <c r="H40" s="14">
        <f>220*I40</f>
        <v>214940</v>
      </c>
      <c r="I40" s="48">
        <f>938+17+12+10</f>
        <v>977</v>
      </c>
      <c r="J40" s="14">
        <f>G40-I40+5+8</f>
        <v>60</v>
      </c>
      <c r="K40" s="49">
        <f>190465.26+2801.39</f>
        <v>193266.65</v>
      </c>
      <c r="L40" s="50">
        <f t="shared" si="18"/>
        <v>5.859375</v>
      </c>
      <c r="M40" s="51">
        <f>  115847.24 +  3622.79 </f>
        <v>119470.03</v>
      </c>
      <c r="N40" s="52">
        <f>J40*499</f>
        <v>29940</v>
      </c>
    </row>
    <row r="41">
      <c r="A41" s="42" t="s">
        <v>28</v>
      </c>
      <c r="B41" s="43">
        <v>0.0</v>
      </c>
      <c r="C41" s="44">
        <f t="shared" si="13"/>
        <v>0</v>
      </c>
      <c r="D41" s="45">
        <f t="shared" si="14"/>
        <v>0</v>
      </c>
      <c r="E41" s="11" t="str">
        <f t="shared" si="15"/>
        <v>#DIV/0!</v>
      </c>
      <c r="F41" s="46" t="str">
        <f t="shared" si="16"/>
        <v>#DIV/0!</v>
      </c>
      <c r="G41" s="47">
        <v>0.0</v>
      </c>
      <c r="H41" s="14">
        <f>250*I41</f>
        <v>0</v>
      </c>
      <c r="I41" s="48">
        <v>0.0</v>
      </c>
      <c r="J41" s="14">
        <f t="shared" ref="J41:J52" si="19">G41-I41</f>
        <v>0</v>
      </c>
      <c r="K41" s="49">
        <v>0.0</v>
      </c>
      <c r="L41" s="50" t="str">
        <f t="shared" si="18"/>
        <v>#DIV/0!</v>
      </c>
      <c r="M41" s="51">
        <v>0.0</v>
      </c>
      <c r="N41" s="52">
        <f>J41*1049</f>
        <v>0</v>
      </c>
    </row>
    <row r="42">
      <c r="A42" s="42" t="s">
        <v>29</v>
      </c>
      <c r="B42" s="43">
        <f>123107+66353.24</f>
        <v>189460.24</v>
      </c>
      <c r="C42" s="44">
        <f t="shared" si="13"/>
        <v>117888.72</v>
      </c>
      <c r="D42" s="45">
        <f t="shared" si="14"/>
        <v>71571.52</v>
      </c>
      <c r="E42" s="11">
        <f t="shared" si="15"/>
        <v>37.77653823</v>
      </c>
      <c r="F42" s="46">
        <f t="shared" si="16"/>
        <v>455.8695541</v>
      </c>
      <c r="G42" s="47">
        <f>111+60</f>
        <v>171</v>
      </c>
      <c r="H42" s="14">
        <f>320*I42</f>
        <v>50240</v>
      </c>
      <c r="I42" s="48">
        <f>102+55</f>
        <v>157</v>
      </c>
      <c r="J42" s="14">
        <f t="shared" si="19"/>
        <v>14</v>
      </c>
      <c r="K42" s="49">
        <f>22505.49 +45143.23</f>
        <v>67648.72</v>
      </c>
      <c r="L42" s="50">
        <f t="shared" si="18"/>
        <v>8.187134503</v>
      </c>
      <c r="M42" s="55">
        <f>  32897.63 +  475.39 </f>
        <v>33373.02</v>
      </c>
      <c r="N42" s="52">
        <f>J42*1249</f>
        <v>17486</v>
      </c>
    </row>
    <row r="43">
      <c r="A43" s="42" t="s">
        <v>31</v>
      </c>
      <c r="B43" s="43">
        <f>31719.47+36030</f>
        <v>67749.47</v>
      </c>
      <c r="C43" s="44">
        <f t="shared" si="13"/>
        <v>65516.4</v>
      </c>
      <c r="D43" s="45">
        <f t="shared" si="14"/>
        <v>2233.07</v>
      </c>
      <c r="E43" s="11">
        <f t="shared" si="15"/>
        <v>3.296070065</v>
      </c>
      <c r="F43" s="46">
        <f t="shared" si="16"/>
        <v>44.6614</v>
      </c>
      <c r="G43" s="47">
        <f>33+20</f>
        <v>53</v>
      </c>
      <c r="H43" s="14">
        <f>500*I43</f>
        <v>25000</v>
      </c>
      <c r="I43" s="48">
        <v>50.0</v>
      </c>
      <c r="J43" s="14">
        <f t="shared" si="19"/>
        <v>3</v>
      </c>
      <c r="K43" s="49">
        <f>14422.44+26093.96</f>
        <v>40516.4</v>
      </c>
      <c r="L43" s="50">
        <f t="shared" si="18"/>
        <v>5.660377358</v>
      </c>
      <c r="M43" s="51">
        <f>  26375.73 +  437.34 </f>
        <v>26813.07</v>
      </c>
      <c r="N43" s="52">
        <f>J43*1349</f>
        <v>4047</v>
      </c>
    </row>
    <row r="44">
      <c r="A44" s="42" t="s">
        <v>32</v>
      </c>
      <c r="B44" s="43">
        <v>0.0</v>
      </c>
      <c r="C44" s="44">
        <f t="shared" si="13"/>
        <v>0</v>
      </c>
      <c r="D44" s="45">
        <f t="shared" si="14"/>
        <v>0</v>
      </c>
      <c r="E44" s="11" t="str">
        <f t="shared" si="15"/>
        <v>#DIV/0!</v>
      </c>
      <c r="F44" s="46" t="str">
        <f t="shared" si="16"/>
        <v>#DIV/0!</v>
      </c>
      <c r="G44" s="47">
        <v>0.0</v>
      </c>
      <c r="H44" s="14">
        <f>800*I44</f>
        <v>0</v>
      </c>
      <c r="I44" s="48">
        <v>0.0</v>
      </c>
      <c r="J44" s="14">
        <f t="shared" si="19"/>
        <v>0</v>
      </c>
      <c r="K44" s="49">
        <v>0.0</v>
      </c>
      <c r="L44" s="50" t="str">
        <f t="shared" si="18"/>
        <v>#DIV/0!</v>
      </c>
      <c r="M44" s="51">
        <v>0.0</v>
      </c>
      <c r="N44" s="52">
        <f>J44*1899</f>
        <v>0</v>
      </c>
    </row>
    <row r="45">
      <c r="A45" s="42" t="s">
        <v>33</v>
      </c>
      <c r="B45" s="43">
        <f>132466+128639.12</f>
        <v>261105.12</v>
      </c>
      <c r="C45" s="44">
        <f t="shared" si="13"/>
        <v>196591.55</v>
      </c>
      <c r="D45" s="45">
        <f t="shared" si="14"/>
        <v>64513.57</v>
      </c>
      <c r="E45" s="11">
        <f t="shared" si="15"/>
        <v>24.7078916</v>
      </c>
      <c r="F45" s="46">
        <f t="shared" si="16"/>
        <v>504.0122656</v>
      </c>
      <c r="G45" s="47">
        <f>81+75</f>
        <v>156</v>
      </c>
      <c r="H45" s="14">
        <f>1000*I45</f>
        <v>128000</v>
      </c>
      <c r="I45" s="48">
        <f>71+57</f>
        <v>128</v>
      </c>
      <c r="J45" s="14">
        <f t="shared" si="19"/>
        <v>28</v>
      </c>
      <c r="K45" s="49">
        <f>43949.27+24642.28 </f>
        <v>68591.55</v>
      </c>
      <c r="L45" s="50">
        <f t="shared" si="18"/>
        <v>17.94871795</v>
      </c>
      <c r="M45" s="51">
        <f>  18296.03 +  62.04 </f>
        <v>18358.07</v>
      </c>
      <c r="N45" s="52">
        <f>J45*1999</f>
        <v>55972</v>
      </c>
    </row>
    <row r="46">
      <c r="A46" s="42" t="s">
        <v>54</v>
      </c>
      <c r="B46" s="43">
        <f>28535</f>
        <v>28535</v>
      </c>
      <c r="C46" s="44">
        <f t="shared" si="13"/>
        <v>23126.43</v>
      </c>
      <c r="D46" s="45">
        <f t="shared" si="14"/>
        <v>5408.57</v>
      </c>
      <c r="E46" s="11">
        <f t="shared" si="15"/>
        <v>18.95416156</v>
      </c>
      <c r="F46" s="46">
        <f t="shared" si="16"/>
        <v>104.0109615</v>
      </c>
      <c r="G46" s="47">
        <v>55.0</v>
      </c>
      <c r="H46" s="14">
        <f>200*I46</f>
        <v>10400</v>
      </c>
      <c r="I46" s="48">
        <v>52.0</v>
      </c>
      <c r="J46" s="14">
        <f t="shared" si="19"/>
        <v>3</v>
      </c>
      <c r="K46" s="49">
        <f>12726.43</f>
        <v>12726.43</v>
      </c>
      <c r="L46" s="50">
        <f t="shared" si="18"/>
        <v>5.454545455</v>
      </c>
      <c r="M46" s="51">
        <f>  10121.88 </f>
        <v>10121.88</v>
      </c>
      <c r="N46" s="52">
        <f>J46*599</f>
        <v>1797</v>
      </c>
    </row>
    <row r="47">
      <c r="A47" s="42" t="s">
        <v>55</v>
      </c>
      <c r="B47" s="43">
        <f>1449</f>
        <v>1449</v>
      </c>
      <c r="C47" s="44">
        <f t="shared" si="13"/>
        <v>720.64</v>
      </c>
      <c r="D47" s="45">
        <f t="shared" si="14"/>
        <v>728.36</v>
      </c>
      <c r="E47" s="11">
        <f t="shared" si="15"/>
        <v>50.26639061</v>
      </c>
      <c r="F47" s="46">
        <f t="shared" si="16"/>
        <v>728.36</v>
      </c>
      <c r="G47" s="47">
        <v>1.0</v>
      </c>
      <c r="H47" s="14">
        <f>(270+220)*I47</f>
        <v>490</v>
      </c>
      <c r="I47" s="48">
        <v>1.0</v>
      </c>
      <c r="J47" s="14">
        <f t="shared" si="19"/>
        <v>0</v>
      </c>
      <c r="K47" s="49">
        <f>230.64</f>
        <v>230.64</v>
      </c>
      <c r="L47" s="50">
        <f t="shared" si="18"/>
        <v>0</v>
      </c>
      <c r="M47" s="51">
        <v>0.0</v>
      </c>
      <c r="N47" s="56"/>
    </row>
    <row r="48">
      <c r="A48" s="42" t="s">
        <v>56</v>
      </c>
      <c r="B48" s="43">
        <f>2199</f>
        <v>2199</v>
      </c>
      <c r="C48" s="44">
        <f t="shared" si="13"/>
        <v>620</v>
      </c>
      <c r="D48" s="45">
        <f t="shared" si="14"/>
        <v>1579</v>
      </c>
      <c r="E48" s="11">
        <f t="shared" si="15"/>
        <v>71.80536608</v>
      </c>
      <c r="F48" s="46">
        <f t="shared" si="16"/>
        <v>1579</v>
      </c>
      <c r="G48" s="47">
        <v>1.0</v>
      </c>
      <c r="H48" s="14">
        <f>(270+350)*I48</f>
        <v>620</v>
      </c>
      <c r="I48" s="48">
        <v>1.0</v>
      </c>
      <c r="J48" s="14">
        <f t="shared" si="19"/>
        <v>0</v>
      </c>
      <c r="K48" s="49">
        <v>0.0</v>
      </c>
      <c r="L48" s="50">
        <f t="shared" si="18"/>
        <v>0</v>
      </c>
      <c r="M48" s="51">
        <v>0.0</v>
      </c>
      <c r="N48" s="52">
        <f>J48*2199</f>
        <v>0</v>
      </c>
    </row>
    <row r="49">
      <c r="A49" s="42" t="s">
        <v>57</v>
      </c>
      <c r="B49" s="43">
        <f>13194</f>
        <v>13194</v>
      </c>
      <c r="C49" s="44">
        <f t="shared" si="13"/>
        <v>5901.23</v>
      </c>
      <c r="D49" s="45">
        <f t="shared" si="14"/>
        <v>7292.77</v>
      </c>
      <c r="E49" s="11">
        <f t="shared" si="15"/>
        <v>55.27338184</v>
      </c>
      <c r="F49" s="46">
        <f t="shared" si="16"/>
        <v>1215.461667</v>
      </c>
      <c r="G49" s="47">
        <v>7.0</v>
      </c>
      <c r="H49" s="14">
        <f>(270+320)*I49</f>
        <v>3540</v>
      </c>
      <c r="I49" s="48">
        <v>6.0</v>
      </c>
      <c r="J49" s="14">
        <f t="shared" si="19"/>
        <v>1</v>
      </c>
      <c r="K49" s="49">
        <f>2361.23</f>
        <v>2361.23</v>
      </c>
      <c r="L49" s="50">
        <f t="shared" si="18"/>
        <v>14.28571429</v>
      </c>
      <c r="M49" s="51">
        <v>0.0</v>
      </c>
      <c r="N49" s="52">
        <f>J49*999</f>
        <v>999</v>
      </c>
    </row>
    <row r="50">
      <c r="A50" s="42" t="s">
        <v>58</v>
      </c>
      <c r="B50" s="43">
        <f>20189</f>
        <v>20189</v>
      </c>
      <c r="C50" s="44">
        <f t="shared" si="13"/>
        <v>19867.18</v>
      </c>
      <c r="D50" s="45">
        <f t="shared" si="14"/>
        <v>321.82</v>
      </c>
      <c r="E50" s="11">
        <f t="shared" si="15"/>
        <v>1.594036356</v>
      </c>
      <c r="F50" s="46">
        <f t="shared" si="16"/>
        <v>29.25636364</v>
      </c>
      <c r="G50" s="47">
        <v>11.0</v>
      </c>
      <c r="H50" s="14">
        <f>(350+220)*I50</f>
        <v>6270</v>
      </c>
      <c r="I50" s="48">
        <v>11.0</v>
      </c>
      <c r="J50" s="14">
        <f t="shared" si="19"/>
        <v>0</v>
      </c>
      <c r="K50" s="49">
        <f>13597.18 </f>
        <v>13597.18</v>
      </c>
      <c r="L50" s="50">
        <f t="shared" si="18"/>
        <v>0</v>
      </c>
      <c r="M50" s="51">
        <f>  10405.32 +  203.25 </f>
        <v>10608.57</v>
      </c>
      <c r="N50" s="52">
        <f>J50*1499</f>
        <v>0</v>
      </c>
    </row>
    <row r="51">
      <c r="A51" s="42" t="s">
        <v>59</v>
      </c>
      <c r="B51" s="43">
        <v>0.0</v>
      </c>
      <c r="C51" s="44">
        <f t="shared" si="13"/>
        <v>0</v>
      </c>
      <c r="D51" s="45">
        <f t="shared" si="14"/>
        <v>0</v>
      </c>
      <c r="E51" s="11" t="str">
        <f t="shared" si="15"/>
        <v>#DIV/0!</v>
      </c>
      <c r="F51" s="46" t="str">
        <f t="shared" si="16"/>
        <v>#DIV/0!</v>
      </c>
      <c r="G51" s="47">
        <v>0.0</v>
      </c>
      <c r="H51" s="14">
        <f>(350+320)*I51</f>
        <v>0</v>
      </c>
      <c r="I51" s="48">
        <v>0.0</v>
      </c>
      <c r="J51" s="14">
        <f t="shared" si="19"/>
        <v>0</v>
      </c>
      <c r="K51" s="49">
        <v>0.0</v>
      </c>
      <c r="L51" s="50" t="str">
        <f t="shared" si="18"/>
        <v>#DIV/0!</v>
      </c>
      <c r="M51" s="51">
        <v>0.0</v>
      </c>
      <c r="N51" s="52">
        <f t="shared" ref="N51:N52" si="20">J51*999</f>
        <v>0</v>
      </c>
    </row>
    <row r="52">
      <c r="A52" s="42" t="s">
        <v>119</v>
      </c>
      <c r="B52" s="43">
        <f>20784+1998</f>
        <v>22782</v>
      </c>
      <c r="C52" s="44">
        <f t="shared" si="13"/>
        <v>10241.21</v>
      </c>
      <c r="D52" s="45">
        <f t="shared" si="14"/>
        <v>12540.79</v>
      </c>
      <c r="E52" s="11">
        <f t="shared" si="15"/>
        <v>55.04692301</v>
      </c>
      <c r="F52" s="46">
        <f t="shared" si="16"/>
        <v>696.7105556</v>
      </c>
      <c r="G52" s="47">
        <v>19.0</v>
      </c>
      <c r="H52" s="14">
        <f>(330)*I52</f>
        <v>5940</v>
      </c>
      <c r="I52" s="48">
        <v>18.0</v>
      </c>
      <c r="J52" s="14">
        <f t="shared" si="19"/>
        <v>1</v>
      </c>
      <c r="K52" s="49">
        <f>4036.89+264.32 </f>
        <v>4301.21</v>
      </c>
      <c r="L52" s="50">
        <f t="shared" si="18"/>
        <v>5.263157895</v>
      </c>
      <c r="M52" s="51">
        <v>0.0</v>
      </c>
      <c r="N52" s="52">
        <f t="shared" si="20"/>
        <v>999</v>
      </c>
    </row>
    <row r="53">
      <c r="A53" s="3" t="s">
        <v>38</v>
      </c>
      <c r="B53" s="41">
        <f t="shared" ref="B53:C53" si="21">SUM(B37:B51)</f>
        <v>2362275.03</v>
      </c>
      <c r="C53" s="41">
        <f t="shared" si="21"/>
        <v>1617488.15</v>
      </c>
      <c r="D53" s="41">
        <f t="shared" si="14"/>
        <v>744786.88</v>
      </c>
      <c r="E53" s="3"/>
      <c r="F53" s="3"/>
      <c r="G53" s="41">
        <f>SUM(G35:G51)</f>
        <v>2861</v>
      </c>
      <c r="H53" s="41">
        <f>SUM(H37:H51)</f>
        <v>812600</v>
      </c>
      <c r="I53" s="41">
        <f>SUM(I35:I51)</f>
        <v>2676</v>
      </c>
      <c r="J53" s="3"/>
      <c r="K53" s="41">
        <f>SUM(K37:K51)</f>
        <v>804888.15</v>
      </c>
      <c r="L53" s="3"/>
      <c r="M53" s="41">
        <f>SUM(M35:M51)</f>
        <v>552249.4</v>
      </c>
      <c r="N53" s="3"/>
    </row>
    <row r="56">
      <c r="A56" s="115" t="s">
        <v>40</v>
      </c>
      <c r="B56" s="116">
        <f>B53</f>
        <v>2362275.03</v>
      </c>
      <c r="C56" s="3"/>
      <c r="D56" s="3"/>
      <c r="E56" s="3"/>
      <c r="F56" s="3"/>
    </row>
    <row r="57">
      <c r="A57" s="117" t="s">
        <v>41</v>
      </c>
      <c r="B57" s="118">
        <f>H53</f>
        <v>812600</v>
      </c>
      <c r="C57" s="3"/>
      <c r="D57" s="30" t="s">
        <v>39</v>
      </c>
      <c r="E57" s="3"/>
      <c r="F57" s="3"/>
    </row>
    <row r="58">
      <c r="A58" s="119" t="s">
        <v>120</v>
      </c>
      <c r="B58" s="120">
        <v>133800.0</v>
      </c>
      <c r="C58" s="3"/>
      <c r="D58" s="33" t="s">
        <v>41</v>
      </c>
      <c r="E58" s="34">
        <f>B57/I53</f>
        <v>303.6621824</v>
      </c>
      <c r="F58" s="59"/>
    </row>
    <row r="59">
      <c r="A59" s="119" t="s">
        <v>61</v>
      </c>
      <c r="B59" s="120">
        <v>118839.0</v>
      </c>
      <c r="C59" s="3"/>
      <c r="D59" s="33"/>
      <c r="E59" s="34"/>
      <c r="F59" s="59"/>
    </row>
    <row r="60">
      <c r="A60" s="121" t="s">
        <v>44</v>
      </c>
      <c r="B60" s="122">
        <f>M53</f>
        <v>552249.4</v>
      </c>
      <c r="C60" s="3"/>
      <c r="D60" s="33" t="s">
        <v>42</v>
      </c>
      <c r="E60" s="34">
        <f>B60/I53</f>
        <v>206.3712257</v>
      </c>
      <c r="F60" s="59"/>
    </row>
    <row r="61">
      <c r="A61" s="123" t="s">
        <v>62</v>
      </c>
      <c r="B61" s="124">
        <f>B56-SUM(B57:B60)</f>
        <v>744786.63</v>
      </c>
      <c r="C61" s="3"/>
      <c r="D61" s="33" t="s">
        <v>63</v>
      </c>
      <c r="E61" s="34">
        <f>B58/I53</f>
        <v>50</v>
      </c>
      <c r="F61" s="61"/>
    </row>
    <row r="62">
      <c r="A62" s="125" t="s">
        <v>47</v>
      </c>
      <c r="B62" s="126">
        <f>B61/B56*100</f>
        <v>31.5283623</v>
      </c>
      <c r="C62" s="3"/>
      <c r="D62" s="33" t="s">
        <v>45</v>
      </c>
      <c r="E62" s="34">
        <f>B56/I53</f>
        <v>882.7634641</v>
      </c>
      <c r="F62" s="3"/>
    </row>
    <row r="69">
      <c r="A69" s="1" t="s">
        <v>114</v>
      </c>
      <c r="B69" s="2" t="s">
        <v>64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>
      <c r="A71" s="38" t="s">
        <v>49</v>
      </c>
      <c r="B71" s="24" t="s">
        <v>3</v>
      </c>
      <c r="C71" s="24" t="s">
        <v>4</v>
      </c>
      <c r="D71" s="24" t="s">
        <v>5</v>
      </c>
      <c r="E71" s="39" t="s">
        <v>6</v>
      </c>
      <c r="F71" s="24" t="s">
        <v>7</v>
      </c>
      <c r="G71" s="24" t="s">
        <v>9</v>
      </c>
      <c r="H71" s="24" t="s">
        <v>11</v>
      </c>
      <c r="I71" s="24" t="s">
        <v>12</v>
      </c>
      <c r="J71" s="24" t="s">
        <v>50</v>
      </c>
      <c r="K71" s="24" t="s">
        <v>65</v>
      </c>
      <c r="L71" s="39" t="s">
        <v>16</v>
      </c>
      <c r="M71" s="24" t="s">
        <v>52</v>
      </c>
    </row>
    <row r="72">
      <c r="A72" s="42" t="s">
        <v>21</v>
      </c>
      <c r="B72" s="43">
        <f>32190</f>
        <v>32190</v>
      </c>
      <c r="C72" s="44">
        <f t="shared" ref="C72:C84" si="22">K72+H72</f>
        <v>19767.18</v>
      </c>
      <c r="D72" s="45">
        <f t="shared" ref="D72:D84" si="23">B72-C72</f>
        <v>12422.82</v>
      </c>
      <c r="E72" s="11">
        <f t="shared" ref="E72:E84" si="24">D72/B72*100</f>
        <v>38.59217148</v>
      </c>
      <c r="F72" s="46">
        <f t="shared" ref="F72:F84" si="25">D72/I72</f>
        <v>414.094</v>
      </c>
      <c r="G72" s="47">
        <v>47.0</v>
      </c>
      <c r="H72" s="14">
        <f>270*I72</f>
        <v>8100</v>
      </c>
      <c r="I72" s="48">
        <v>30.0</v>
      </c>
      <c r="J72" s="14">
        <f t="shared" ref="J72:J84" si="26">G72-I72</f>
        <v>17</v>
      </c>
      <c r="K72" s="49">
        <f>11667.18</f>
        <v>11667.18</v>
      </c>
      <c r="L72" s="50">
        <f t="shared" ref="L72:L84" si="27">J72/G72*100</f>
        <v>36.17021277</v>
      </c>
      <c r="M72" s="51">
        <f t="shared" ref="M72:M79" si="28">20%*B72</f>
        <v>6438</v>
      </c>
    </row>
    <row r="73">
      <c r="A73" s="42" t="s">
        <v>23</v>
      </c>
      <c r="B73" s="43">
        <f>38220</f>
        <v>38220</v>
      </c>
      <c r="C73" s="44">
        <f t="shared" si="22"/>
        <v>23073.44</v>
      </c>
      <c r="D73" s="45">
        <f t="shared" si="23"/>
        <v>15146.56</v>
      </c>
      <c r="E73" s="11">
        <f t="shared" si="24"/>
        <v>39.62993197</v>
      </c>
      <c r="F73" s="46">
        <f t="shared" si="25"/>
        <v>504.8853333</v>
      </c>
      <c r="G73" s="47">
        <v>36.0</v>
      </c>
      <c r="H73" s="14">
        <f>350*I73</f>
        <v>10500</v>
      </c>
      <c r="I73" s="48">
        <v>30.0</v>
      </c>
      <c r="J73" s="14">
        <f t="shared" si="26"/>
        <v>6</v>
      </c>
      <c r="K73" s="49">
        <f>12573.44</f>
        <v>12573.44</v>
      </c>
      <c r="L73" s="50">
        <f t="shared" si="27"/>
        <v>16.66666667</v>
      </c>
      <c r="M73" s="51">
        <f t="shared" si="28"/>
        <v>7644</v>
      </c>
    </row>
    <row r="74">
      <c r="A74" s="42" t="s">
        <v>25</v>
      </c>
      <c r="B74" s="43">
        <v>0.0</v>
      </c>
      <c r="C74" s="44">
        <f t="shared" si="22"/>
        <v>0</v>
      </c>
      <c r="D74" s="45">
        <f t="shared" si="23"/>
        <v>0</v>
      </c>
      <c r="E74" s="11" t="str">
        <f t="shared" si="24"/>
        <v>#DIV/0!</v>
      </c>
      <c r="F74" s="46" t="str">
        <f t="shared" si="25"/>
        <v>#DIV/0!</v>
      </c>
      <c r="G74" s="47">
        <v>0.0</v>
      </c>
      <c r="H74" s="14">
        <f> 980*I74</f>
        <v>0</v>
      </c>
      <c r="I74" s="48">
        <v>0.0</v>
      </c>
      <c r="J74" s="14">
        <f t="shared" si="26"/>
        <v>0</v>
      </c>
      <c r="K74" s="49">
        <v>0.0</v>
      </c>
      <c r="L74" s="50" t="str">
        <f t="shared" si="27"/>
        <v>#DIV/0!</v>
      </c>
      <c r="M74" s="51">
        <f t="shared" si="28"/>
        <v>0</v>
      </c>
    </row>
    <row r="75">
      <c r="A75" s="42" t="s">
        <v>26</v>
      </c>
      <c r="B75" s="43">
        <f>41200</f>
        <v>41200</v>
      </c>
      <c r="C75" s="44">
        <f t="shared" si="22"/>
        <v>35973.35</v>
      </c>
      <c r="D75" s="45">
        <f t="shared" si="23"/>
        <v>5226.65</v>
      </c>
      <c r="E75" s="11">
        <f t="shared" si="24"/>
        <v>12.68604369</v>
      </c>
      <c r="F75" s="46">
        <f t="shared" si="25"/>
        <v>65.333125</v>
      </c>
      <c r="G75" s="47">
        <v>113.0</v>
      </c>
      <c r="H75" s="14">
        <f>220*I75</f>
        <v>17600</v>
      </c>
      <c r="I75" s="48">
        <v>80.0</v>
      </c>
      <c r="J75" s="14">
        <f t="shared" si="26"/>
        <v>33</v>
      </c>
      <c r="K75" s="49">
        <f>18373.35</f>
        <v>18373.35</v>
      </c>
      <c r="L75" s="50">
        <f t="shared" si="27"/>
        <v>29.20353982</v>
      </c>
      <c r="M75" s="51">
        <f t="shared" si="28"/>
        <v>8240</v>
      </c>
    </row>
    <row r="76">
      <c r="A76" s="42" t="s">
        <v>28</v>
      </c>
      <c r="B76" s="43">
        <f>3447</f>
        <v>3447</v>
      </c>
      <c r="C76" s="44">
        <f t="shared" si="22"/>
        <v>2813.49</v>
      </c>
      <c r="D76" s="45">
        <f t="shared" si="23"/>
        <v>633.51</v>
      </c>
      <c r="E76" s="11">
        <f t="shared" si="24"/>
        <v>18.37859008</v>
      </c>
      <c r="F76" s="46">
        <f t="shared" si="25"/>
        <v>211.17</v>
      </c>
      <c r="G76" s="47">
        <v>10.0</v>
      </c>
      <c r="H76" s="14">
        <f>270*I76</f>
        <v>810</v>
      </c>
      <c r="I76" s="48">
        <v>3.0</v>
      </c>
      <c r="J76" s="14">
        <f t="shared" si="26"/>
        <v>7</v>
      </c>
      <c r="K76" s="49">
        <f>2003.49</f>
        <v>2003.49</v>
      </c>
      <c r="L76" s="50">
        <f t="shared" si="27"/>
        <v>70</v>
      </c>
      <c r="M76" s="51">
        <f t="shared" si="28"/>
        <v>689.4</v>
      </c>
    </row>
    <row r="77">
      <c r="A77" s="42" t="s">
        <v>29</v>
      </c>
      <c r="B77" s="43">
        <f>22992</f>
        <v>22992</v>
      </c>
      <c r="C77" s="44">
        <f t="shared" si="22"/>
        <v>13960.5</v>
      </c>
      <c r="D77" s="45">
        <f t="shared" si="23"/>
        <v>9031.5</v>
      </c>
      <c r="E77" s="11">
        <f t="shared" si="24"/>
        <v>39.28105428</v>
      </c>
      <c r="F77" s="46">
        <f t="shared" si="25"/>
        <v>501.75</v>
      </c>
      <c r="G77" s="47">
        <v>26.0</v>
      </c>
      <c r="H77" s="14">
        <f>320*I77</f>
        <v>5760</v>
      </c>
      <c r="I77" s="48">
        <v>18.0</v>
      </c>
      <c r="J77" s="14">
        <f t="shared" si="26"/>
        <v>8</v>
      </c>
      <c r="K77" s="49">
        <f>8200.5</f>
        <v>8200.5</v>
      </c>
      <c r="L77" s="50">
        <f t="shared" si="27"/>
        <v>30.76923077</v>
      </c>
      <c r="M77" s="51">
        <f t="shared" si="28"/>
        <v>4598.4</v>
      </c>
    </row>
    <row r="78">
      <c r="A78" s="42" t="s">
        <v>31</v>
      </c>
      <c r="B78" s="43">
        <f>8394</f>
        <v>8394</v>
      </c>
      <c r="C78" s="44">
        <f t="shared" si="22"/>
        <v>5406.8</v>
      </c>
      <c r="D78" s="45">
        <f t="shared" si="23"/>
        <v>2987.2</v>
      </c>
      <c r="E78" s="11">
        <f t="shared" si="24"/>
        <v>35.58732428</v>
      </c>
      <c r="F78" s="46">
        <f t="shared" si="25"/>
        <v>497.8666667</v>
      </c>
      <c r="G78" s="47">
        <v>7.0</v>
      </c>
      <c r="H78" s="14">
        <f>470*I78</f>
        <v>2820</v>
      </c>
      <c r="I78" s="48">
        <v>6.0</v>
      </c>
      <c r="J78" s="14">
        <f t="shared" si="26"/>
        <v>1</v>
      </c>
      <c r="K78" s="49">
        <f>2586.8</f>
        <v>2586.8</v>
      </c>
      <c r="L78" s="50">
        <f t="shared" si="27"/>
        <v>14.28571429</v>
      </c>
      <c r="M78" s="51">
        <f t="shared" si="28"/>
        <v>1678.8</v>
      </c>
    </row>
    <row r="79">
      <c r="A79" s="42" t="s">
        <v>66</v>
      </c>
      <c r="B79" s="43">
        <f>713+1847</f>
        <v>2560</v>
      </c>
      <c r="C79" s="44">
        <f t="shared" si="22"/>
        <v>1165.88</v>
      </c>
      <c r="D79" s="45">
        <f t="shared" si="23"/>
        <v>1394.12</v>
      </c>
      <c r="E79" s="11">
        <f t="shared" si="24"/>
        <v>54.4578125</v>
      </c>
      <c r="F79" s="46">
        <f t="shared" si="25"/>
        <v>697.06</v>
      </c>
      <c r="G79" s="47">
        <v>2.0</v>
      </c>
      <c r="H79" s="14">
        <f>200*I79</f>
        <v>400</v>
      </c>
      <c r="I79" s="48">
        <v>2.0</v>
      </c>
      <c r="J79" s="14">
        <f t="shared" si="26"/>
        <v>0</v>
      </c>
      <c r="K79" s="49">
        <f>259.73+506.15</f>
        <v>765.88</v>
      </c>
      <c r="L79" s="50">
        <f t="shared" si="27"/>
        <v>0</v>
      </c>
      <c r="M79" s="51">
        <f t="shared" si="28"/>
        <v>512</v>
      </c>
    </row>
    <row r="80">
      <c r="A80" s="42" t="s">
        <v>33</v>
      </c>
      <c r="B80" s="43">
        <f>20550</f>
        <v>20550</v>
      </c>
      <c r="C80" s="44">
        <f t="shared" si="22"/>
        <v>16601.63</v>
      </c>
      <c r="D80" s="45">
        <f t="shared" si="23"/>
        <v>3948.37</v>
      </c>
      <c r="E80" s="11">
        <f t="shared" si="24"/>
        <v>19.21347932</v>
      </c>
      <c r="F80" s="46">
        <f t="shared" si="25"/>
        <v>394.837</v>
      </c>
      <c r="G80" s="47">
        <v>12.0</v>
      </c>
      <c r="H80" s="14">
        <f>1000*I80</f>
        <v>10000</v>
      </c>
      <c r="I80" s="48">
        <v>10.0</v>
      </c>
      <c r="J80" s="14">
        <f t="shared" si="26"/>
        <v>2</v>
      </c>
      <c r="K80" s="49">
        <f>6601.63</f>
        <v>6601.63</v>
      </c>
      <c r="L80" s="50">
        <f t="shared" si="27"/>
        <v>16.66666667</v>
      </c>
      <c r="M80" s="51">
        <v>0.0</v>
      </c>
      <c r="W80" s="3"/>
    </row>
    <row r="81">
      <c r="A81" s="42" t="s">
        <v>67</v>
      </c>
      <c r="B81" s="43">
        <f>8245</f>
        <v>8245</v>
      </c>
      <c r="C81" s="44">
        <f t="shared" si="22"/>
        <v>6110.32</v>
      </c>
      <c r="D81" s="45">
        <f t="shared" si="23"/>
        <v>2134.68</v>
      </c>
      <c r="E81" s="11">
        <f t="shared" si="24"/>
        <v>25.89060036</v>
      </c>
      <c r="F81" s="46">
        <f t="shared" si="25"/>
        <v>426.936</v>
      </c>
      <c r="G81" s="47">
        <v>9.0</v>
      </c>
      <c r="H81" s="14">
        <f>(220+350)*I81</f>
        <v>2850</v>
      </c>
      <c r="I81" s="48">
        <v>5.0</v>
      </c>
      <c r="J81" s="14">
        <f t="shared" si="26"/>
        <v>4</v>
      </c>
      <c r="K81" s="49">
        <f>3260.32</f>
        <v>3260.32</v>
      </c>
      <c r="L81" s="50">
        <f t="shared" si="27"/>
        <v>44.44444444</v>
      </c>
      <c r="M81" s="51">
        <f t="shared" ref="M81:M84" si="29">20%*B81</f>
        <v>1649</v>
      </c>
      <c r="W81" s="3"/>
    </row>
    <row r="82">
      <c r="A82" s="42" t="s">
        <v>55</v>
      </c>
      <c r="B82" s="43">
        <f>10143</f>
        <v>10143</v>
      </c>
      <c r="C82" s="44">
        <f t="shared" si="22"/>
        <v>6545.5</v>
      </c>
      <c r="D82" s="45">
        <f t="shared" si="23"/>
        <v>3597.5</v>
      </c>
      <c r="E82" s="11">
        <f t="shared" si="24"/>
        <v>35.46781031</v>
      </c>
      <c r="F82" s="46">
        <f t="shared" si="25"/>
        <v>513.9285714</v>
      </c>
      <c r="G82" s="47">
        <v>7.0</v>
      </c>
      <c r="H82" s="14">
        <f>(270+220)*I82</f>
        <v>3430</v>
      </c>
      <c r="I82" s="48">
        <v>7.0</v>
      </c>
      <c r="J82" s="14">
        <f t="shared" si="26"/>
        <v>0</v>
      </c>
      <c r="K82" s="49">
        <f>3115.5</f>
        <v>3115.5</v>
      </c>
      <c r="L82" s="50">
        <f t="shared" si="27"/>
        <v>0</v>
      </c>
      <c r="M82" s="51">
        <f t="shared" si="29"/>
        <v>2028.6</v>
      </c>
      <c r="W82" s="3"/>
    </row>
    <row r="83">
      <c r="A83" s="42" t="s">
        <v>68</v>
      </c>
      <c r="B83" s="43">
        <f>2349</f>
        <v>2349</v>
      </c>
      <c r="C83" s="44">
        <f t="shared" si="22"/>
        <v>1305.95</v>
      </c>
      <c r="D83" s="45">
        <f t="shared" si="23"/>
        <v>1043.05</v>
      </c>
      <c r="E83" s="11">
        <f t="shared" si="24"/>
        <v>44.4040017</v>
      </c>
      <c r="F83" s="46">
        <f t="shared" si="25"/>
        <v>1043.05</v>
      </c>
      <c r="G83" s="47">
        <v>4.0</v>
      </c>
      <c r="H83" s="14">
        <f>(320+350)*I83</f>
        <v>670</v>
      </c>
      <c r="I83" s="48">
        <v>1.0</v>
      </c>
      <c r="J83" s="14">
        <f t="shared" si="26"/>
        <v>3</v>
      </c>
      <c r="K83" s="49">
        <f>635.95</f>
        <v>635.95</v>
      </c>
      <c r="L83" s="50">
        <f t="shared" si="27"/>
        <v>75</v>
      </c>
      <c r="M83" s="51">
        <f t="shared" si="29"/>
        <v>469.8</v>
      </c>
      <c r="T83" s="3"/>
      <c r="U83" s="3"/>
      <c r="V83" s="3"/>
      <c r="W83" s="3"/>
    </row>
    <row r="84">
      <c r="A84" s="42" t="s">
        <v>67</v>
      </c>
      <c r="B84" s="43">
        <f>8245</f>
        <v>8245</v>
      </c>
      <c r="C84" s="44">
        <f t="shared" si="22"/>
        <v>6360.32</v>
      </c>
      <c r="D84" s="45">
        <f t="shared" si="23"/>
        <v>1884.68</v>
      </c>
      <c r="E84" s="11">
        <f t="shared" si="24"/>
        <v>22.85845967</v>
      </c>
      <c r="F84" s="46">
        <f t="shared" si="25"/>
        <v>376.936</v>
      </c>
      <c r="G84" s="47">
        <v>9.0</v>
      </c>
      <c r="H84" s="14">
        <f>(270+350)*I84</f>
        <v>3100</v>
      </c>
      <c r="I84" s="48">
        <v>5.0</v>
      </c>
      <c r="J84" s="14">
        <f t="shared" si="26"/>
        <v>4</v>
      </c>
      <c r="K84" s="49">
        <f>3260.32</f>
        <v>3260.32</v>
      </c>
      <c r="L84" s="50">
        <f t="shared" si="27"/>
        <v>44.44444444</v>
      </c>
      <c r="M84" s="51">
        <f t="shared" si="29"/>
        <v>1649</v>
      </c>
      <c r="T84" s="3"/>
      <c r="U84" s="3"/>
      <c r="V84" s="3"/>
      <c r="W84" s="3"/>
    </row>
    <row r="85">
      <c r="A85" s="3"/>
      <c r="B85" s="41">
        <f t="shared" ref="B85:D85" si="30">SUM(B72:B84)</f>
        <v>198535</v>
      </c>
      <c r="C85" s="41">
        <f t="shared" si="30"/>
        <v>139084.36</v>
      </c>
      <c r="D85" s="53">
        <f t="shared" si="30"/>
        <v>59450.64</v>
      </c>
      <c r="E85" s="3"/>
      <c r="F85" s="3"/>
      <c r="G85" s="41">
        <f t="shared" ref="G85:K85" si="31">SUM(G72:G84)</f>
        <v>282</v>
      </c>
      <c r="H85" s="41">
        <f t="shared" si="31"/>
        <v>66040</v>
      </c>
      <c r="I85" s="41">
        <f t="shared" si="31"/>
        <v>197</v>
      </c>
      <c r="J85" s="41">
        <f t="shared" si="31"/>
        <v>85</v>
      </c>
      <c r="K85" s="41">
        <f t="shared" si="31"/>
        <v>73044.36</v>
      </c>
      <c r="L85" s="3"/>
      <c r="M85" s="41">
        <f>SUM(M72:M84)</f>
        <v>35597</v>
      </c>
      <c r="T85" s="3"/>
      <c r="U85" s="3"/>
      <c r="V85" s="3"/>
      <c r="W85" s="3"/>
    </row>
    <row r="86">
      <c r="T86" s="3"/>
      <c r="U86" s="3"/>
      <c r="V86" s="3"/>
      <c r="W86" s="3"/>
    </row>
    <row r="87">
      <c r="T87" s="3"/>
      <c r="U87" s="3"/>
      <c r="V87" s="3"/>
      <c r="W87" s="3"/>
    </row>
    <row r="88">
      <c r="A88" s="31" t="s">
        <v>40</v>
      </c>
      <c r="B88" s="36">
        <f>B85</f>
        <v>198535</v>
      </c>
      <c r="C88" s="3"/>
      <c r="D88" s="3"/>
      <c r="E88" s="3"/>
      <c r="T88" s="3"/>
      <c r="U88" s="3"/>
      <c r="V88" s="3"/>
    </row>
    <row r="89">
      <c r="A89" s="31" t="s">
        <v>41</v>
      </c>
      <c r="B89" s="36">
        <f>H85</f>
        <v>66040</v>
      </c>
      <c r="C89" s="3"/>
      <c r="D89" s="30"/>
      <c r="E89" s="3"/>
      <c r="T89" s="3"/>
      <c r="U89" s="3"/>
      <c r="V89" s="3"/>
    </row>
    <row r="90">
      <c r="A90" s="31" t="s">
        <v>69</v>
      </c>
      <c r="B90" s="36">
        <f>K85-B91</f>
        <v>37447.36</v>
      </c>
      <c r="C90" s="3"/>
      <c r="D90" s="33" t="s">
        <v>41</v>
      </c>
      <c r="E90" s="34">
        <f>B89/I85</f>
        <v>335.2284264</v>
      </c>
      <c r="U90" s="3"/>
      <c r="V90" s="3"/>
      <c r="W90" s="3"/>
    </row>
    <row r="91">
      <c r="A91" s="31" t="s">
        <v>44</v>
      </c>
      <c r="B91" s="36">
        <f>M85</f>
        <v>35597</v>
      </c>
      <c r="C91" s="3"/>
      <c r="D91" s="33" t="s">
        <v>42</v>
      </c>
      <c r="E91" s="34">
        <f>B91/I85</f>
        <v>180.6954315</v>
      </c>
    </row>
    <row r="92">
      <c r="A92" s="31" t="s">
        <v>62</v>
      </c>
      <c r="B92" s="36">
        <f>B88-SUM(B89:B91)</f>
        <v>59450.64</v>
      </c>
      <c r="C92" s="3"/>
      <c r="D92" s="33" t="s">
        <v>63</v>
      </c>
      <c r="E92" s="34">
        <f>B90/I85</f>
        <v>190.0881218</v>
      </c>
    </row>
    <row r="93">
      <c r="A93" s="31" t="s">
        <v>47</v>
      </c>
      <c r="B93" s="62">
        <f>B92/B88*100</f>
        <v>29.94466467</v>
      </c>
      <c r="C93" s="3"/>
      <c r="D93" s="33" t="s">
        <v>45</v>
      </c>
      <c r="E93" s="34">
        <f>B88/I85</f>
        <v>1007.791878</v>
      </c>
    </row>
    <row r="98">
      <c r="A98" s="1" t="s">
        <v>114</v>
      </c>
      <c r="B98" s="2" t="s">
        <v>70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S98" s="3"/>
      <c r="T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S99" s="3"/>
      <c r="T99" s="3"/>
    </row>
    <row r="100">
      <c r="A100" s="38" t="s">
        <v>49</v>
      </c>
      <c r="B100" s="24" t="s">
        <v>3</v>
      </c>
      <c r="C100" s="24" t="s">
        <v>4</v>
      </c>
      <c r="D100" s="24" t="s">
        <v>5</v>
      </c>
      <c r="E100" s="39" t="s">
        <v>6</v>
      </c>
      <c r="F100" s="24" t="s">
        <v>7</v>
      </c>
      <c r="G100" s="24" t="s">
        <v>71</v>
      </c>
      <c r="H100" s="24" t="s">
        <v>9</v>
      </c>
      <c r="I100" s="24" t="s">
        <v>72</v>
      </c>
      <c r="J100" s="24" t="s">
        <v>73</v>
      </c>
      <c r="K100" s="28" t="s">
        <v>43</v>
      </c>
      <c r="L100" s="3"/>
      <c r="M100" s="3"/>
      <c r="N100" s="3"/>
      <c r="S100" s="3"/>
      <c r="T100" s="3"/>
    </row>
    <row r="101">
      <c r="A101" s="42" t="s">
        <v>21</v>
      </c>
      <c r="B101" s="43">
        <f>689*H101</f>
        <v>81991</v>
      </c>
      <c r="C101" s="63">
        <f t="shared" ref="C101:C104" si="32">J101+G101+I101+K101</f>
        <v>65409.05</v>
      </c>
      <c r="D101" s="45">
        <f t="shared" ref="D101:D104" si="33">B101-C101</f>
        <v>16581.95</v>
      </c>
      <c r="E101" s="11">
        <f t="shared" ref="E101:E104" si="34">D101/B101*100</f>
        <v>20.22410996</v>
      </c>
      <c r="F101" s="46">
        <f t="shared" ref="F101:F104" si="35">D101/H101</f>
        <v>139.3441176</v>
      </c>
      <c r="G101" s="14">
        <f>270*H101</f>
        <v>32130</v>
      </c>
      <c r="H101" s="48">
        <v>119.0</v>
      </c>
      <c r="I101" s="14">
        <f>2277</f>
        <v>2277</v>
      </c>
      <c r="J101" s="64">
        <f>L101%*M101</f>
        <v>28622.05</v>
      </c>
      <c r="K101" s="65">
        <f t="shared" ref="K101:K104" si="36">20*H101</f>
        <v>2380</v>
      </c>
      <c r="L101" s="53">
        <v>85.0</v>
      </c>
      <c r="M101" s="41">
        <f>33673</f>
        <v>33673</v>
      </c>
      <c r="N101" s="3"/>
      <c r="S101" s="3"/>
      <c r="T101" s="3"/>
    </row>
    <row r="102">
      <c r="A102" s="42" t="s">
        <v>26</v>
      </c>
      <c r="B102" s="43">
        <f>359*H102</f>
        <v>33028</v>
      </c>
      <c r="C102" s="63">
        <f t="shared" si="32"/>
        <v>27970.95</v>
      </c>
      <c r="D102" s="45">
        <f t="shared" si="33"/>
        <v>5057.05</v>
      </c>
      <c r="E102" s="11">
        <f t="shared" si="34"/>
        <v>15.31140245</v>
      </c>
      <c r="F102" s="46">
        <f t="shared" si="35"/>
        <v>54.96793478</v>
      </c>
      <c r="G102" s="14">
        <f>220*H102</f>
        <v>20240</v>
      </c>
      <c r="H102" s="48">
        <v>92.0</v>
      </c>
      <c r="I102" s="14">
        <f>840</f>
        <v>840</v>
      </c>
      <c r="J102" s="64">
        <f>L102%*M101</f>
        <v>5050.95</v>
      </c>
      <c r="K102" s="65">
        <f t="shared" si="36"/>
        <v>1840</v>
      </c>
      <c r="L102" s="53">
        <f>100-L101</f>
        <v>15</v>
      </c>
      <c r="M102" s="3"/>
      <c r="N102" s="3"/>
      <c r="S102" s="3"/>
      <c r="T102" s="3"/>
    </row>
    <row r="103">
      <c r="A103" s="42" t="s">
        <v>23</v>
      </c>
      <c r="B103" s="43">
        <f>781*H103</f>
        <v>39831</v>
      </c>
      <c r="C103" s="44">
        <f t="shared" si="32"/>
        <v>19975</v>
      </c>
      <c r="D103" s="45">
        <f t="shared" si="33"/>
        <v>19856</v>
      </c>
      <c r="E103" s="11">
        <f t="shared" si="34"/>
        <v>49.85061886</v>
      </c>
      <c r="F103" s="46">
        <f t="shared" si="35"/>
        <v>389.3333333</v>
      </c>
      <c r="G103" s="14">
        <f t="shared" ref="G103:G104" si="37">350*H103</f>
        <v>17850</v>
      </c>
      <c r="H103" s="48">
        <v>51.0</v>
      </c>
      <c r="I103" s="14">
        <f>1105</f>
        <v>1105</v>
      </c>
      <c r="J103" s="66">
        <f t="shared" ref="J103:J104" si="38">L103%*M103</f>
        <v>0</v>
      </c>
      <c r="K103" s="65">
        <f t="shared" si="36"/>
        <v>1020</v>
      </c>
      <c r="L103" s="3"/>
      <c r="M103" s="3"/>
      <c r="N103" s="3"/>
      <c r="S103" s="3"/>
      <c r="T103" s="3"/>
    </row>
    <row r="104">
      <c r="A104" s="42" t="s">
        <v>29</v>
      </c>
      <c r="B104" s="43">
        <f>843*H104</f>
        <v>53109</v>
      </c>
      <c r="C104" s="44">
        <f t="shared" si="32"/>
        <v>24390</v>
      </c>
      <c r="D104" s="45">
        <f t="shared" si="33"/>
        <v>28719</v>
      </c>
      <c r="E104" s="11">
        <f t="shared" si="34"/>
        <v>54.07558041</v>
      </c>
      <c r="F104" s="46">
        <f t="shared" si="35"/>
        <v>455.8571429</v>
      </c>
      <c r="G104" s="14">
        <f t="shared" si="37"/>
        <v>22050</v>
      </c>
      <c r="H104" s="48">
        <v>63.0</v>
      </c>
      <c r="I104" s="14">
        <v>1080.0</v>
      </c>
      <c r="J104" s="66">
        <f t="shared" si="38"/>
        <v>0</v>
      </c>
      <c r="K104" s="65">
        <f t="shared" si="36"/>
        <v>1260</v>
      </c>
      <c r="L104" s="3"/>
      <c r="M104" s="3"/>
      <c r="N104" s="3"/>
      <c r="S104" s="3"/>
      <c r="T104" s="3"/>
    </row>
    <row r="105">
      <c r="A105" s="3"/>
      <c r="B105" s="41">
        <f t="shared" ref="B105:K105" si="39">SUM(B101:B104)</f>
        <v>207959</v>
      </c>
      <c r="C105" s="67">
        <f t="shared" si="39"/>
        <v>137745</v>
      </c>
      <c r="D105" s="53">
        <f t="shared" si="39"/>
        <v>70214</v>
      </c>
      <c r="E105" s="68">
        <f t="shared" si="39"/>
        <v>139.4617117</v>
      </c>
      <c r="F105" s="68">
        <f t="shared" si="39"/>
        <v>1039.502529</v>
      </c>
      <c r="G105" s="41">
        <f t="shared" si="39"/>
        <v>92270</v>
      </c>
      <c r="H105" s="41">
        <f t="shared" si="39"/>
        <v>325</v>
      </c>
      <c r="I105" s="41">
        <f t="shared" si="39"/>
        <v>5302</v>
      </c>
      <c r="J105" s="67">
        <f t="shared" si="39"/>
        <v>33673</v>
      </c>
      <c r="K105" s="41">
        <f t="shared" si="39"/>
        <v>6500</v>
      </c>
      <c r="L105" s="3"/>
      <c r="M105" s="3"/>
      <c r="N105" s="3"/>
      <c r="O105" s="3"/>
      <c r="P105" s="3"/>
      <c r="Q105" s="3"/>
      <c r="R105" s="3"/>
      <c r="S105" s="3"/>
      <c r="T105" s="3"/>
      <c r="Y105" s="3"/>
      <c r="Z105" s="3"/>
    </row>
    <row r="108">
      <c r="A108" s="31" t="s">
        <v>40</v>
      </c>
      <c r="B108" s="32">
        <f>B105</f>
        <v>207959</v>
      </c>
      <c r="C108" s="3"/>
      <c r="D108" s="30" t="s">
        <v>39</v>
      </c>
      <c r="E108" s="3"/>
    </row>
    <row r="109">
      <c r="A109" s="31" t="s">
        <v>41</v>
      </c>
      <c r="B109" s="32">
        <f>G105</f>
        <v>92270</v>
      </c>
      <c r="C109" s="3"/>
      <c r="D109" s="33" t="s">
        <v>41</v>
      </c>
      <c r="E109" s="34">
        <f>B109/H105</f>
        <v>283.9076923</v>
      </c>
    </row>
    <row r="110">
      <c r="A110" s="31" t="s">
        <v>74</v>
      </c>
      <c r="B110" s="32">
        <f>K105</f>
        <v>6500</v>
      </c>
      <c r="C110" s="3"/>
      <c r="D110" s="33" t="s">
        <v>42</v>
      </c>
      <c r="E110" s="34">
        <f>B111/H105</f>
        <v>119.9230769</v>
      </c>
    </row>
    <row r="111">
      <c r="A111" s="31" t="s">
        <v>75</v>
      </c>
      <c r="B111" s="62">
        <f>I105+J105</f>
        <v>38975</v>
      </c>
      <c r="C111" s="3"/>
      <c r="D111" s="56" t="s">
        <v>43</v>
      </c>
      <c r="E111" s="34">
        <f>K105/H105</f>
        <v>20</v>
      </c>
    </row>
    <row r="112">
      <c r="A112" s="31" t="s">
        <v>62</v>
      </c>
      <c r="B112" s="32">
        <f>B108-SUM(B109:B111)</f>
        <v>70214</v>
      </c>
      <c r="C112" s="3"/>
      <c r="D112" s="33" t="s">
        <v>45</v>
      </c>
      <c r="E112" s="34">
        <f>B108/H105</f>
        <v>639.8738462</v>
      </c>
    </row>
    <row r="113">
      <c r="A113" s="31" t="s">
        <v>47</v>
      </c>
      <c r="B113" s="62">
        <f>B112/B108*100</f>
        <v>33.76338605</v>
      </c>
      <c r="C113" s="3"/>
      <c r="D113" s="3"/>
      <c r="E113" s="3"/>
    </row>
    <row r="117">
      <c r="X117" s="3"/>
    </row>
    <row r="118">
      <c r="X118" s="3"/>
    </row>
    <row r="119">
      <c r="A119" s="1" t="s">
        <v>114</v>
      </c>
      <c r="B119" s="2" t="s">
        <v>76</v>
      </c>
      <c r="C119" s="3"/>
      <c r="D119" s="3"/>
      <c r="E119" s="3"/>
      <c r="F119" s="3"/>
      <c r="G119" s="3"/>
      <c r="H119" s="3"/>
      <c r="I119" s="3"/>
      <c r="J119" s="3"/>
      <c r="K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U120" s="3"/>
      <c r="V120" s="3"/>
      <c r="W120" s="3"/>
    </row>
    <row r="121">
      <c r="A121" s="38" t="s">
        <v>49</v>
      </c>
      <c r="B121" s="24" t="s">
        <v>3</v>
      </c>
      <c r="C121" s="24" t="s">
        <v>4</v>
      </c>
      <c r="D121" s="24" t="s">
        <v>5</v>
      </c>
      <c r="E121" s="39" t="s">
        <v>6</v>
      </c>
      <c r="F121" s="24" t="s">
        <v>7</v>
      </c>
      <c r="G121" s="24" t="s">
        <v>71</v>
      </c>
      <c r="H121" s="24" t="s">
        <v>9</v>
      </c>
      <c r="I121" s="24" t="s">
        <v>77</v>
      </c>
      <c r="J121" s="24" t="s">
        <v>73</v>
      </c>
      <c r="K121" s="28" t="s">
        <v>43</v>
      </c>
      <c r="U121" s="3"/>
      <c r="V121" s="3"/>
      <c r="W121" s="3"/>
    </row>
    <row r="122">
      <c r="A122" s="42" t="s">
        <v>21</v>
      </c>
      <c r="B122" s="43">
        <f>727*H122</f>
        <v>16721</v>
      </c>
      <c r="C122" s="44">
        <f t="shared" ref="C122:C124" si="40">J122+G122+I122+K122</f>
        <v>6670</v>
      </c>
      <c r="D122" s="45">
        <f t="shared" ref="D122:D125" si="41">B122-C122</f>
        <v>10051</v>
      </c>
      <c r="E122" s="11">
        <f t="shared" ref="E122:E124" si="42">D122/B122*100</f>
        <v>60.11004127</v>
      </c>
      <c r="F122" s="46">
        <f t="shared" ref="F122:F124" si="43">D122/H122</f>
        <v>437</v>
      </c>
      <c r="G122" s="14">
        <f>270*H122</f>
        <v>6210</v>
      </c>
      <c r="H122" s="48">
        <v>23.0</v>
      </c>
      <c r="I122" s="14">
        <v>0.0</v>
      </c>
      <c r="J122" s="66">
        <v>0.0</v>
      </c>
      <c r="K122" s="65">
        <f t="shared" ref="K122:K124" si="44">20*H122</f>
        <v>460</v>
      </c>
    </row>
    <row r="123">
      <c r="A123" s="42" t="s">
        <v>26</v>
      </c>
      <c r="B123" s="43">
        <f>385*H123</f>
        <v>16940</v>
      </c>
      <c r="C123" s="44">
        <f t="shared" si="40"/>
        <v>10560</v>
      </c>
      <c r="D123" s="45">
        <f t="shared" si="41"/>
        <v>6380</v>
      </c>
      <c r="E123" s="11">
        <f t="shared" si="42"/>
        <v>37.66233766</v>
      </c>
      <c r="F123" s="46">
        <f t="shared" si="43"/>
        <v>145</v>
      </c>
      <c r="G123" s="14">
        <f>220*H123</f>
        <v>9680</v>
      </c>
      <c r="H123" s="48">
        <v>44.0</v>
      </c>
      <c r="I123" s="14">
        <v>0.0</v>
      </c>
      <c r="J123" s="66">
        <v>0.0</v>
      </c>
      <c r="K123" s="65">
        <f t="shared" si="44"/>
        <v>880</v>
      </c>
    </row>
    <row r="124">
      <c r="A124" s="42" t="s">
        <v>23</v>
      </c>
      <c r="B124" s="43">
        <f>801*H124</f>
        <v>46458</v>
      </c>
      <c r="C124" s="44">
        <f t="shared" si="40"/>
        <v>21460</v>
      </c>
      <c r="D124" s="45">
        <f t="shared" si="41"/>
        <v>24998</v>
      </c>
      <c r="E124" s="11">
        <f t="shared" si="42"/>
        <v>53.80774032</v>
      </c>
      <c r="F124" s="46">
        <f t="shared" si="43"/>
        <v>431</v>
      </c>
      <c r="G124" s="14">
        <f>350*H124</f>
        <v>20300</v>
      </c>
      <c r="H124" s="48">
        <v>58.0</v>
      </c>
      <c r="I124" s="14">
        <v>0.0</v>
      </c>
      <c r="J124" s="66">
        <v>0.0</v>
      </c>
      <c r="K124" s="65">
        <f t="shared" si="44"/>
        <v>1160</v>
      </c>
    </row>
    <row r="125">
      <c r="A125" s="3"/>
      <c r="B125" s="41">
        <f t="shared" ref="B125:C125" si="45">SUM(B122:B124)</f>
        <v>80119</v>
      </c>
      <c r="C125" s="41">
        <f t="shared" si="45"/>
        <v>38690</v>
      </c>
      <c r="D125" s="41">
        <f t="shared" si="41"/>
        <v>41429</v>
      </c>
      <c r="E125" s="3"/>
      <c r="F125" s="3"/>
      <c r="G125" s="41">
        <f t="shared" ref="G125:H125" si="46">SUM(G122:G124)</f>
        <v>36190</v>
      </c>
      <c r="H125" s="41">
        <f t="shared" si="46"/>
        <v>125</v>
      </c>
      <c r="I125" s="3"/>
      <c r="J125" s="3"/>
      <c r="K125" s="41">
        <f>SUM(K122:K124)</f>
        <v>2500</v>
      </c>
    </row>
    <row r="127">
      <c r="A127" s="31" t="s">
        <v>40</v>
      </c>
      <c r="B127" s="32">
        <f>B125</f>
        <v>80119</v>
      </c>
      <c r="C127" s="3"/>
      <c r="D127" s="30" t="s">
        <v>39</v>
      </c>
      <c r="E127" s="3"/>
    </row>
    <row r="128">
      <c r="A128" s="31" t="s">
        <v>41</v>
      </c>
      <c r="B128" s="32">
        <f>G125</f>
        <v>36190</v>
      </c>
      <c r="C128" s="3"/>
      <c r="D128" s="33" t="s">
        <v>41</v>
      </c>
      <c r="E128" s="34">
        <f>B128/H125</f>
        <v>289.52</v>
      </c>
    </row>
    <row r="129">
      <c r="A129" s="31" t="s">
        <v>74</v>
      </c>
      <c r="B129" s="32">
        <f>K125</f>
        <v>2500</v>
      </c>
      <c r="C129" s="3"/>
      <c r="D129" s="33" t="s">
        <v>42</v>
      </c>
      <c r="E129" s="34">
        <f>B130</f>
        <v>0</v>
      </c>
    </row>
    <row r="130">
      <c r="A130" s="31" t="s">
        <v>75</v>
      </c>
      <c r="B130" s="32">
        <f>I124+J124</f>
        <v>0</v>
      </c>
      <c r="C130" s="3"/>
      <c r="D130" s="69" t="s">
        <v>43</v>
      </c>
      <c r="E130" s="34">
        <f>B129/H125</f>
        <v>20</v>
      </c>
    </row>
    <row r="131">
      <c r="A131" s="31" t="s">
        <v>62</v>
      </c>
      <c r="B131" s="32">
        <f>B127-SUM(B128:B130)</f>
        <v>41429</v>
      </c>
      <c r="C131" s="3"/>
      <c r="D131" s="33" t="s">
        <v>45</v>
      </c>
      <c r="E131" s="34">
        <f>B127/H125</f>
        <v>640.952</v>
      </c>
    </row>
    <row r="132">
      <c r="A132" s="31" t="s">
        <v>47</v>
      </c>
      <c r="B132" s="62">
        <f>B131/B127*100</f>
        <v>51.70933237</v>
      </c>
      <c r="C132" s="3"/>
      <c r="D132" s="3"/>
      <c r="E132" s="3"/>
    </row>
    <row r="135">
      <c r="A135" s="1" t="s">
        <v>114</v>
      </c>
      <c r="B135" s="2" t="s">
        <v>78</v>
      </c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S135" s="3"/>
      <c r="T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S136" s="3"/>
      <c r="T136" s="3"/>
    </row>
    <row r="137">
      <c r="A137" s="38" t="s">
        <v>49</v>
      </c>
      <c r="B137" s="24" t="s">
        <v>3</v>
      </c>
      <c r="C137" s="24" t="s">
        <v>4</v>
      </c>
      <c r="D137" s="24" t="s">
        <v>5</v>
      </c>
      <c r="E137" s="39" t="s">
        <v>6</v>
      </c>
      <c r="F137" s="24" t="s">
        <v>7</v>
      </c>
      <c r="G137" s="24" t="s">
        <v>11</v>
      </c>
      <c r="H137" s="24" t="s">
        <v>12</v>
      </c>
      <c r="I137" s="3"/>
      <c r="J137" s="3"/>
      <c r="K137" s="3"/>
      <c r="L137" s="3"/>
    </row>
    <row r="138">
      <c r="A138" s="42" t="s">
        <v>21</v>
      </c>
      <c r="B138" s="43">
        <f>32007.61+21338.41</f>
        <v>53346.02</v>
      </c>
      <c r="C138" s="44">
        <f t="shared" ref="C138:C152" si="47">G138</f>
        <v>18750</v>
      </c>
      <c r="D138" s="45">
        <f t="shared" ref="D138:D153" si="48">B138-C138</f>
        <v>34596.02</v>
      </c>
      <c r="E138" s="11">
        <f t="shared" ref="E138:E152" si="49">D138/B138*100</f>
        <v>64.8521108</v>
      </c>
      <c r="F138" s="46">
        <f t="shared" ref="F138:F152" si="50">D138/H138</f>
        <v>461.2802667</v>
      </c>
      <c r="G138" s="14">
        <f>250*H138</f>
        <v>18750</v>
      </c>
      <c r="H138" s="48">
        <f>45+30</f>
        <v>75</v>
      </c>
      <c r="I138" s="3"/>
      <c r="J138" s="3"/>
      <c r="K138" s="3"/>
      <c r="L138" s="3"/>
    </row>
    <row r="139">
      <c r="A139" s="42" t="s">
        <v>23</v>
      </c>
      <c r="B139" s="43">
        <v>36044.18</v>
      </c>
      <c r="C139" s="44">
        <f t="shared" si="47"/>
        <v>13300</v>
      </c>
      <c r="D139" s="45">
        <f t="shared" si="48"/>
        <v>22744.18</v>
      </c>
      <c r="E139" s="11">
        <f t="shared" si="49"/>
        <v>63.10083903</v>
      </c>
      <c r="F139" s="46">
        <f t="shared" si="50"/>
        <v>598.5310526</v>
      </c>
      <c r="G139" s="14">
        <f>350*H139</f>
        <v>13300</v>
      </c>
      <c r="H139" s="48">
        <v>38.0</v>
      </c>
      <c r="I139" s="3"/>
      <c r="J139" s="3"/>
      <c r="K139" s="3"/>
      <c r="L139" s="3"/>
    </row>
    <row r="140">
      <c r="A140" s="42" t="s">
        <v>25</v>
      </c>
      <c r="B140" s="43">
        <f>1120.7994</f>
        <v>1120.7994</v>
      </c>
      <c r="C140" s="44">
        <f t="shared" si="47"/>
        <v>900</v>
      </c>
      <c r="D140" s="45">
        <f t="shared" si="48"/>
        <v>220.7994</v>
      </c>
      <c r="E140" s="11">
        <f t="shared" si="49"/>
        <v>19.70017115</v>
      </c>
      <c r="F140" s="46">
        <f t="shared" si="50"/>
        <v>220.7994</v>
      </c>
      <c r="G140" s="14">
        <f> 900*H140</f>
        <v>900</v>
      </c>
      <c r="H140" s="48">
        <v>1.0</v>
      </c>
      <c r="I140" s="3"/>
      <c r="J140" s="3"/>
      <c r="K140" s="3"/>
      <c r="L140" s="3"/>
    </row>
    <row r="141">
      <c r="A141" s="42" t="s">
        <v>26</v>
      </c>
      <c r="B141" s="43">
        <v>13928.44</v>
      </c>
      <c r="C141" s="44">
        <f t="shared" si="47"/>
        <v>7260</v>
      </c>
      <c r="D141" s="45">
        <f t="shared" si="48"/>
        <v>6668.44</v>
      </c>
      <c r="E141" s="11">
        <f t="shared" si="49"/>
        <v>47.87643124</v>
      </c>
      <c r="F141" s="46">
        <f t="shared" si="50"/>
        <v>202.0739394</v>
      </c>
      <c r="G141" s="14">
        <f>220*H141</f>
        <v>7260</v>
      </c>
      <c r="H141" s="48">
        <v>33.0</v>
      </c>
      <c r="I141" s="3"/>
      <c r="J141" s="3"/>
      <c r="K141" s="3"/>
      <c r="L141" s="3"/>
    </row>
    <row r="142">
      <c r="A142" s="42" t="s">
        <v>28</v>
      </c>
      <c r="B142" s="43">
        <v>8207.13</v>
      </c>
      <c r="C142" s="44">
        <f t="shared" si="47"/>
        <v>3000</v>
      </c>
      <c r="D142" s="45">
        <f t="shared" si="48"/>
        <v>5207.13</v>
      </c>
      <c r="E142" s="11">
        <f t="shared" si="49"/>
        <v>63.44641793</v>
      </c>
      <c r="F142" s="46">
        <f t="shared" si="50"/>
        <v>433.9275</v>
      </c>
      <c r="G142" s="14">
        <f>250*H142</f>
        <v>3000</v>
      </c>
      <c r="H142" s="48">
        <v>12.0</v>
      </c>
      <c r="I142" s="3"/>
      <c r="J142" s="3"/>
      <c r="K142" s="3"/>
      <c r="L142" s="3"/>
    </row>
    <row r="143">
      <c r="A143" s="42" t="s">
        <v>29</v>
      </c>
      <c r="B143" s="43">
        <v>5812.67</v>
      </c>
      <c r="C143" s="44">
        <f t="shared" si="47"/>
        <v>2240</v>
      </c>
      <c r="D143" s="45">
        <f t="shared" si="48"/>
        <v>3572.67</v>
      </c>
      <c r="E143" s="11">
        <f t="shared" si="49"/>
        <v>61.46349268</v>
      </c>
      <c r="F143" s="46">
        <f t="shared" si="50"/>
        <v>510.3814286</v>
      </c>
      <c r="G143" s="14">
        <f>320*H143</f>
        <v>2240</v>
      </c>
      <c r="H143" s="48">
        <v>7.0</v>
      </c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A144" s="42" t="s">
        <v>31</v>
      </c>
      <c r="B144" s="43">
        <f>7309.53</f>
        <v>7309.53</v>
      </c>
      <c r="C144" s="44">
        <f t="shared" si="47"/>
        <v>4500</v>
      </c>
      <c r="D144" s="45">
        <f t="shared" si="48"/>
        <v>2809.53</v>
      </c>
      <c r="E144" s="11">
        <f t="shared" si="49"/>
        <v>38.43653422</v>
      </c>
      <c r="F144" s="46">
        <f t="shared" si="50"/>
        <v>312.17</v>
      </c>
      <c r="G144" s="14">
        <f>500*H144</f>
        <v>4500</v>
      </c>
      <c r="H144" s="48">
        <v>9.0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A145" s="42" t="s">
        <v>32</v>
      </c>
      <c r="B145" s="43">
        <v>2651.1</v>
      </c>
      <c r="C145" s="44">
        <f t="shared" si="47"/>
        <v>1600</v>
      </c>
      <c r="D145" s="45">
        <f t="shared" si="48"/>
        <v>1051.1</v>
      </c>
      <c r="E145" s="11">
        <f t="shared" si="49"/>
        <v>39.64769341</v>
      </c>
      <c r="F145" s="46">
        <f t="shared" si="50"/>
        <v>525.55</v>
      </c>
      <c r="G145" s="14">
        <f>800*H145</f>
        <v>1600</v>
      </c>
      <c r="H145" s="48">
        <v>2.0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A146" s="42" t="s">
        <v>33</v>
      </c>
      <c r="B146" s="43">
        <f>2651.1</f>
        <v>2651.1</v>
      </c>
      <c r="C146" s="44">
        <f t="shared" si="47"/>
        <v>2000</v>
      </c>
      <c r="D146" s="45">
        <f t="shared" si="48"/>
        <v>651.1</v>
      </c>
      <c r="E146" s="11">
        <f t="shared" si="49"/>
        <v>24.55961676</v>
      </c>
      <c r="F146" s="46">
        <f t="shared" si="50"/>
        <v>325.55</v>
      </c>
      <c r="G146" s="14">
        <f>1000*H146</f>
        <v>2000</v>
      </c>
      <c r="H146" s="48">
        <v>2.0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A147" s="42" t="s">
        <v>54</v>
      </c>
      <c r="B147" s="43">
        <v>0.0</v>
      </c>
      <c r="C147" s="44">
        <f t="shared" si="47"/>
        <v>0</v>
      </c>
      <c r="D147" s="45">
        <f t="shared" si="48"/>
        <v>0</v>
      </c>
      <c r="E147" s="11" t="str">
        <f t="shared" si="49"/>
        <v>#DIV/0!</v>
      </c>
      <c r="F147" s="46" t="str">
        <f t="shared" si="50"/>
        <v>#DIV/0!</v>
      </c>
      <c r="G147" s="14">
        <f>200*H147</f>
        <v>0</v>
      </c>
      <c r="H147" s="48">
        <v>0.0</v>
      </c>
      <c r="I147" s="3"/>
      <c r="J147" s="3"/>
      <c r="K147" s="3"/>
      <c r="L147" s="3"/>
      <c r="M147" s="3"/>
      <c r="N147" s="3"/>
      <c r="O147" s="3"/>
      <c r="P147" s="3"/>
      <c r="Q147" s="3"/>
      <c r="R147" s="3"/>
      <c r="T147" s="3"/>
    </row>
    <row r="148">
      <c r="A148" s="42" t="s">
        <v>55</v>
      </c>
      <c r="B148" s="43">
        <v>31187.49</v>
      </c>
      <c r="C148" s="44">
        <f t="shared" si="47"/>
        <v>15680</v>
      </c>
      <c r="D148" s="45">
        <f t="shared" si="48"/>
        <v>15507.49</v>
      </c>
      <c r="E148" s="11">
        <f t="shared" si="49"/>
        <v>49.72343077</v>
      </c>
      <c r="F148" s="46">
        <f t="shared" si="50"/>
        <v>484.6090625</v>
      </c>
      <c r="G148" s="14">
        <f>(270+220)*H148</f>
        <v>15680</v>
      </c>
      <c r="H148" s="48">
        <v>32.0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A149" s="42" t="s">
        <v>56</v>
      </c>
      <c r="B149" s="43">
        <f>4385.74</f>
        <v>4385.74</v>
      </c>
      <c r="C149" s="44">
        <f t="shared" si="47"/>
        <v>1860</v>
      </c>
      <c r="D149" s="45">
        <f t="shared" si="48"/>
        <v>2525.74</v>
      </c>
      <c r="E149" s="11">
        <f t="shared" si="49"/>
        <v>57.58982521</v>
      </c>
      <c r="F149" s="46">
        <f t="shared" si="50"/>
        <v>841.9133333</v>
      </c>
      <c r="G149" s="14">
        <f>(270+350)*H149</f>
        <v>1860</v>
      </c>
      <c r="H149" s="48">
        <v>3.0</v>
      </c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A150" s="42" t="s">
        <v>57</v>
      </c>
      <c r="B150" s="43">
        <v>14619.13</v>
      </c>
      <c r="C150" s="44">
        <f t="shared" si="47"/>
        <v>5900</v>
      </c>
      <c r="D150" s="45">
        <f t="shared" si="48"/>
        <v>8719.13</v>
      </c>
      <c r="E150" s="11">
        <f t="shared" si="49"/>
        <v>59.64192124</v>
      </c>
      <c r="F150" s="46">
        <f t="shared" si="50"/>
        <v>871.913</v>
      </c>
      <c r="G150" s="14">
        <f>(270+320)*H150</f>
        <v>5900</v>
      </c>
      <c r="H150" s="48">
        <v>10.0</v>
      </c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A151" s="42" t="s">
        <v>58</v>
      </c>
      <c r="B151" s="43">
        <v>34241.21</v>
      </c>
      <c r="C151" s="44">
        <f t="shared" si="47"/>
        <v>19380</v>
      </c>
      <c r="D151" s="45">
        <f t="shared" si="48"/>
        <v>14861.21</v>
      </c>
      <c r="E151" s="11">
        <f t="shared" si="49"/>
        <v>43.40153283</v>
      </c>
      <c r="F151" s="46">
        <f t="shared" si="50"/>
        <v>437.0944118</v>
      </c>
      <c r="G151" s="14">
        <f>(350+220)*H151</f>
        <v>19380</v>
      </c>
      <c r="H151" s="48">
        <v>34.0</v>
      </c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A152" s="42" t="s">
        <v>59</v>
      </c>
      <c r="B152" s="43">
        <v>27776.36</v>
      </c>
      <c r="C152" s="44">
        <f t="shared" si="47"/>
        <v>12730</v>
      </c>
      <c r="D152" s="45">
        <f t="shared" si="48"/>
        <v>15046.36</v>
      </c>
      <c r="E152" s="11">
        <f t="shared" si="49"/>
        <v>54.16966082</v>
      </c>
      <c r="F152" s="46">
        <f t="shared" si="50"/>
        <v>791.9136842</v>
      </c>
      <c r="G152" s="14">
        <f>(350+320)*H152</f>
        <v>12730</v>
      </c>
      <c r="H152" s="48">
        <v>19.0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A153" s="3" t="s">
        <v>38</v>
      </c>
      <c r="B153" s="57">
        <f t="shared" ref="B153:C153" si="51">SUM(B138:B152)</f>
        <v>243280.8994</v>
      </c>
      <c r="C153" s="41">
        <f t="shared" si="51"/>
        <v>109100</v>
      </c>
      <c r="D153" s="57">
        <f t="shared" si="48"/>
        <v>134180.8994</v>
      </c>
      <c r="E153" s="3"/>
      <c r="F153" s="3"/>
      <c r="G153" s="41">
        <f t="shared" ref="G153:H153" si="52">SUM(G138:G152)</f>
        <v>109100</v>
      </c>
      <c r="H153" s="41">
        <f t="shared" si="52"/>
        <v>277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5">
      <c r="A155" s="31" t="s">
        <v>40</v>
      </c>
      <c r="B155" s="36">
        <f>B153</f>
        <v>243280.8994</v>
      </c>
      <c r="C155" s="3"/>
      <c r="D155" s="30"/>
      <c r="E155" s="3"/>
    </row>
    <row r="156">
      <c r="A156" s="31" t="s">
        <v>41</v>
      </c>
      <c r="B156" s="32">
        <f>G153</f>
        <v>109100</v>
      </c>
      <c r="C156" s="3"/>
      <c r="D156" s="33" t="s">
        <v>41</v>
      </c>
      <c r="E156" s="34">
        <f>B156/H153</f>
        <v>393.8628159</v>
      </c>
    </row>
    <row r="157">
      <c r="A157" s="31" t="s">
        <v>74</v>
      </c>
      <c r="B157" s="32">
        <v>0.0</v>
      </c>
      <c r="C157" s="3"/>
      <c r="D157" s="33" t="s">
        <v>42</v>
      </c>
      <c r="E157" s="34">
        <f>B158</f>
        <v>0</v>
      </c>
    </row>
    <row r="158">
      <c r="A158" s="31" t="s">
        <v>75</v>
      </c>
      <c r="B158" s="32">
        <f>I152+J152</f>
        <v>0</v>
      </c>
      <c r="C158" s="3"/>
      <c r="D158" s="69" t="s">
        <v>43</v>
      </c>
      <c r="E158" s="34">
        <f>B157/H153</f>
        <v>0</v>
      </c>
    </row>
    <row r="159">
      <c r="A159" s="31" t="s">
        <v>62</v>
      </c>
      <c r="B159" s="36">
        <f>B155-SUM(B156:B158)</f>
        <v>134180.8994</v>
      </c>
      <c r="C159" s="3"/>
      <c r="D159" s="33" t="s">
        <v>45</v>
      </c>
      <c r="E159" s="34">
        <f>B155/H153</f>
        <v>878.2703949</v>
      </c>
    </row>
    <row r="160">
      <c r="A160" s="31" t="s">
        <v>47</v>
      </c>
      <c r="B160" s="62">
        <f>B159/B155*100</f>
        <v>55.15472021</v>
      </c>
      <c r="C160" s="3"/>
      <c r="D160" s="3"/>
      <c r="E160" s="3"/>
    </row>
    <row r="165">
      <c r="A165" s="127">
        <v>45778.0</v>
      </c>
    </row>
    <row r="166">
      <c r="A166" s="127"/>
    </row>
    <row r="167">
      <c r="A167" s="71" t="s">
        <v>79</v>
      </c>
      <c r="B167" s="72">
        <f>B21+B56+B88+B108+B127+B153</f>
        <v>7070050.929</v>
      </c>
    </row>
    <row r="168">
      <c r="A168" s="74" t="s">
        <v>41</v>
      </c>
      <c r="B168" s="75">
        <f>B27+B57+B89+B109+B128+B156</f>
        <v>2612270</v>
      </c>
    </row>
    <row r="169">
      <c r="A169" s="76" t="s">
        <v>80</v>
      </c>
      <c r="B169" s="77">
        <f>B167-B168</f>
        <v>4457780.929</v>
      </c>
    </row>
    <row r="170">
      <c r="A170" s="71" t="s">
        <v>81</v>
      </c>
      <c r="B170" s="78">
        <f>B169/B167</f>
        <v>0.6305160987</v>
      </c>
    </row>
    <row r="171">
      <c r="A171" s="76" t="s">
        <v>82</v>
      </c>
      <c r="B171" s="77">
        <f>B28+B58+B90+B110+B129</f>
        <v>511171.36</v>
      </c>
      <c r="D171" s="128">
        <f>B172-G21</f>
        <v>626821.4</v>
      </c>
      <c r="E171" s="128">
        <f>D171*0.82</f>
        <v>513993.548</v>
      </c>
    </row>
    <row r="172">
      <c r="A172" s="81" t="s">
        <v>83</v>
      </c>
      <c r="B172" s="82">
        <f>B29+B91+B111+B130+B60</f>
        <v>2663244.4</v>
      </c>
    </row>
    <row r="173">
      <c r="A173" s="81" t="s">
        <v>84</v>
      </c>
      <c r="B173" s="82">
        <f>B169-B171-B172</f>
        <v>1283365.169</v>
      </c>
    </row>
    <row r="174">
      <c r="A174" s="71" t="s">
        <v>85</v>
      </c>
      <c r="B174" s="78">
        <f>B173/B167</f>
        <v>0.1815213472</v>
      </c>
    </row>
    <row r="175">
      <c r="A175" s="83" t="s">
        <v>86</v>
      </c>
      <c r="B175" s="84">
        <v>1100000.0</v>
      </c>
      <c r="G175" s="70"/>
      <c r="H175" s="129"/>
      <c r="I175" s="129"/>
      <c r="J175" s="70"/>
      <c r="K175" s="70"/>
    </row>
    <row r="176">
      <c r="A176" s="85" t="s">
        <v>87</v>
      </c>
      <c r="B176" s="86">
        <f>B168+B171+B172+B175</f>
        <v>6886685.76</v>
      </c>
      <c r="E176" s="130" t="s">
        <v>39</v>
      </c>
      <c r="F176" s="131">
        <v>1.0</v>
      </c>
      <c r="G176" s="132" t="str">
        <f>B167/Total!Q2</f>
        <v>#REF!</v>
      </c>
      <c r="H176" s="70"/>
      <c r="I176" s="70"/>
      <c r="J176" s="70"/>
      <c r="K176" s="70"/>
    </row>
    <row r="177">
      <c r="A177" s="87" t="s">
        <v>88</v>
      </c>
      <c r="B177" s="88">
        <f>B167-B176</f>
        <v>183365.1694</v>
      </c>
      <c r="E177" s="107" t="s">
        <v>41</v>
      </c>
      <c r="F177" s="133">
        <v>0.37</v>
      </c>
      <c r="G177" s="134" t="str">
        <f>G176*35%</f>
        <v>#REF!</v>
      </c>
      <c r="H177" s="70"/>
      <c r="I177" s="70"/>
      <c r="J177" s="70"/>
      <c r="K177" s="70"/>
    </row>
    <row r="178">
      <c r="A178" s="71" t="s">
        <v>89</v>
      </c>
      <c r="B178" s="89">
        <f>B177/B167</f>
        <v>0.0259354807</v>
      </c>
      <c r="E178" s="107" t="s">
        <v>42</v>
      </c>
      <c r="F178" s="133">
        <v>0.3766</v>
      </c>
      <c r="G178" s="134" t="str">
        <f>G176*F178</f>
        <v>#REF!</v>
      </c>
      <c r="H178" s="70"/>
      <c r="I178" s="70"/>
      <c r="J178" s="70"/>
      <c r="K178" s="70"/>
    </row>
    <row r="179">
      <c r="E179" s="107" t="s">
        <v>74</v>
      </c>
      <c r="F179" s="133">
        <v>0.089</v>
      </c>
      <c r="G179" s="134" t="str">
        <f>G176*F179</f>
        <v>#REF!</v>
      </c>
      <c r="H179" s="70"/>
      <c r="I179" s="70"/>
      <c r="J179" s="70"/>
      <c r="K179" s="70"/>
    </row>
    <row r="180">
      <c r="E180" s="135" t="s">
        <v>121</v>
      </c>
      <c r="F180" s="136">
        <v>0.156</v>
      </c>
      <c r="G180" s="137" t="str">
        <f>G176*F180</f>
        <v>#REF!</v>
      </c>
    </row>
    <row r="181">
      <c r="E181" s="130" t="s">
        <v>118</v>
      </c>
      <c r="F181" s="138">
        <v>0.0113</v>
      </c>
      <c r="G181" s="132" t="str">
        <f>G176*F181</f>
        <v>#REF!</v>
      </c>
    </row>
    <row r="184">
      <c r="A184" s="60" t="s">
        <v>49</v>
      </c>
    </row>
    <row r="185">
      <c r="A185" s="139">
        <v>45778.0</v>
      </c>
    </row>
    <row r="186">
      <c r="A186" s="140" t="s">
        <v>122</v>
      </c>
      <c r="B186" s="140" t="s">
        <v>123</v>
      </c>
      <c r="C186" s="141" t="s">
        <v>124</v>
      </c>
    </row>
    <row r="187">
      <c r="A187" s="142" t="s">
        <v>125</v>
      </c>
      <c r="B187" s="143">
        <v>3977882.0</v>
      </c>
      <c r="C187" s="144">
        <f t="shared" ref="C187:C192" si="53">B187/$B$193</f>
        <v>0.5626383798</v>
      </c>
    </row>
    <row r="188">
      <c r="A188" s="142" t="s">
        <v>48</v>
      </c>
      <c r="B188" s="143">
        <v>2362275.0300000003</v>
      </c>
      <c r="C188" s="144">
        <f t="shared" si="53"/>
        <v>0.3341241886</v>
      </c>
    </row>
    <row r="189">
      <c r="A189" s="142" t="s">
        <v>78</v>
      </c>
      <c r="B189" s="143">
        <v>243280.8994</v>
      </c>
      <c r="C189" s="144">
        <f t="shared" si="53"/>
        <v>0.03441006321</v>
      </c>
    </row>
    <row r="190">
      <c r="A190" s="142" t="s">
        <v>70</v>
      </c>
      <c r="B190" s="143">
        <v>207959.0</v>
      </c>
      <c r="C190" s="144">
        <f t="shared" si="53"/>
        <v>0.02941407383</v>
      </c>
    </row>
    <row r="191">
      <c r="A191" s="142" t="s">
        <v>64</v>
      </c>
      <c r="B191" s="143">
        <v>198535.0</v>
      </c>
      <c r="C191" s="144">
        <f t="shared" si="53"/>
        <v>0.02808112728</v>
      </c>
    </row>
    <row r="192">
      <c r="A192" s="142" t="s">
        <v>76</v>
      </c>
      <c r="B192" s="143">
        <v>80119.0</v>
      </c>
      <c r="C192" s="144">
        <f t="shared" si="53"/>
        <v>0.01133216731</v>
      </c>
    </row>
    <row r="193">
      <c r="A193" s="145" t="s">
        <v>38</v>
      </c>
      <c r="B193" s="146">
        <v>7070050.929400001</v>
      </c>
      <c r="C193" s="147" t="s">
        <v>126</v>
      </c>
    </row>
    <row r="198">
      <c r="A198" s="70"/>
      <c r="B198" s="70"/>
      <c r="C198" s="70"/>
      <c r="D198" s="70"/>
    </row>
    <row r="199">
      <c r="A199" s="70"/>
      <c r="B199" s="70"/>
      <c r="C199" s="70"/>
      <c r="D199" s="70"/>
    </row>
    <row r="200">
      <c r="A200" s="70"/>
      <c r="B200" s="70"/>
      <c r="C200" s="70"/>
      <c r="D200" s="70"/>
      <c r="E200" s="60" t="s">
        <v>21</v>
      </c>
      <c r="F200" s="58">
        <f>B4+B37+B72+B101+B122+B138</f>
        <v>1522812.42</v>
      </c>
    </row>
    <row r="201">
      <c r="A201" s="90" t="s">
        <v>90</v>
      </c>
      <c r="B201" s="91">
        <v>45802.0</v>
      </c>
      <c r="C201" s="129"/>
      <c r="D201" s="70"/>
      <c r="E201" s="60" t="s">
        <v>23</v>
      </c>
      <c r="F201" s="58">
        <f>B6+B38+B73+B103+B124+B139</f>
        <v>1166408.85</v>
      </c>
    </row>
    <row r="202">
      <c r="A202" s="92" t="s">
        <v>91</v>
      </c>
      <c r="B202" s="93">
        <f>SUM(B203:B209)</f>
        <v>6988</v>
      </c>
      <c r="C202" s="148"/>
      <c r="D202" s="70"/>
      <c r="E202" s="60" t="s">
        <v>25</v>
      </c>
      <c r="F202" s="58">
        <f>B8+B39+B74+B140</f>
        <v>40035.7994</v>
      </c>
    </row>
    <row r="203">
      <c r="A203" s="28" t="s">
        <v>92</v>
      </c>
      <c r="B203" s="27">
        <f>K21</f>
        <v>3388</v>
      </c>
      <c r="C203" s="148"/>
      <c r="D203" s="70"/>
      <c r="E203" s="60" t="s">
        <v>26</v>
      </c>
      <c r="F203" s="58">
        <f>B9+B40+B75+B102+B123+B141</f>
        <v>714714.57</v>
      </c>
    </row>
    <row r="204">
      <c r="A204" s="28" t="s">
        <v>48</v>
      </c>
      <c r="B204" s="27">
        <f>I53</f>
        <v>2676</v>
      </c>
      <c r="C204" s="148"/>
      <c r="D204" s="70"/>
      <c r="E204" s="60" t="s">
        <v>28</v>
      </c>
      <c r="F204" s="58">
        <f>B11+B41+B76+B142</f>
        <v>75795.13</v>
      </c>
    </row>
    <row r="205">
      <c r="A205" s="28" t="s">
        <v>64</v>
      </c>
      <c r="B205" s="27">
        <f>I85</f>
        <v>197</v>
      </c>
      <c r="C205" s="148"/>
      <c r="D205" s="70"/>
      <c r="E205" s="60" t="s">
        <v>29</v>
      </c>
      <c r="F205" s="58">
        <f>B12+B42+B77+B104+B143</f>
        <v>1123933.91</v>
      </c>
    </row>
    <row r="206">
      <c r="A206" s="28" t="s">
        <v>70</v>
      </c>
      <c r="B206" s="27">
        <f>H105</f>
        <v>325</v>
      </c>
      <c r="C206" s="148"/>
      <c r="D206" s="70"/>
      <c r="E206" s="60" t="s">
        <v>31</v>
      </c>
      <c r="F206" s="58">
        <f>B14+B43+B78+B144</f>
        <v>195213</v>
      </c>
    </row>
    <row r="207">
      <c r="A207" s="28" t="s">
        <v>76</v>
      </c>
      <c r="B207" s="27">
        <f>H125</f>
        <v>125</v>
      </c>
      <c r="C207" s="148"/>
      <c r="D207" s="70"/>
      <c r="E207" s="60" t="s">
        <v>32</v>
      </c>
      <c r="F207" s="58">
        <f>B15+B44+B145</f>
        <v>28375.1</v>
      </c>
    </row>
    <row r="208">
      <c r="A208" s="28" t="s">
        <v>95</v>
      </c>
      <c r="B208" s="27">
        <f>H153</f>
        <v>277</v>
      </c>
      <c r="C208" s="148"/>
      <c r="D208" s="70"/>
      <c r="E208" s="60" t="s">
        <v>33</v>
      </c>
      <c r="F208" s="58">
        <f>B16+B45+B80+B146</f>
        <v>1534563.22</v>
      </c>
    </row>
    <row r="209">
      <c r="A209" s="28" t="s">
        <v>96</v>
      </c>
      <c r="B209" s="28"/>
      <c r="C209" s="148"/>
      <c r="D209" s="70"/>
      <c r="E209" s="60" t="s">
        <v>54</v>
      </c>
      <c r="F209" s="58">
        <f>B20+B52+B46+B147</f>
        <v>213317</v>
      </c>
    </row>
    <row r="210">
      <c r="A210" s="92" t="s">
        <v>97</v>
      </c>
      <c r="B210" s="94">
        <f>SUM(B211:B217)</f>
        <v>7070050.929</v>
      </c>
      <c r="C210" s="149"/>
      <c r="D210" s="70"/>
      <c r="E210" s="60" t="s">
        <v>93</v>
      </c>
      <c r="F210" s="58">
        <f>B5+B7+B10+B13+B17+B18+B19+B47+B48+B49+B50+B81+B82+B83+B84+B148+B149+B150+B151+B152</f>
        <v>475103.93</v>
      </c>
    </row>
    <row r="211">
      <c r="A211" s="28" t="s">
        <v>92</v>
      </c>
      <c r="B211" s="95">
        <f>B25</f>
        <v>3977882</v>
      </c>
      <c r="C211" s="70"/>
      <c r="D211" s="70"/>
      <c r="E211" s="60" t="s">
        <v>94</v>
      </c>
      <c r="F211" s="60">
        <f>B79</f>
        <v>2560</v>
      </c>
    </row>
    <row r="212">
      <c r="A212" s="28" t="s">
        <v>48</v>
      </c>
      <c r="B212" s="95">
        <f>B56</f>
        <v>2362275.03</v>
      </c>
      <c r="C212" s="70"/>
      <c r="D212" s="70"/>
    </row>
    <row r="213">
      <c r="A213" s="28" t="s">
        <v>64</v>
      </c>
      <c r="B213" s="95">
        <f>B88</f>
        <v>198535</v>
      </c>
      <c r="C213" s="70"/>
      <c r="D213" s="70"/>
    </row>
    <row r="214">
      <c r="A214" s="28" t="s">
        <v>70</v>
      </c>
      <c r="B214" s="95">
        <f>B105</f>
        <v>207959</v>
      </c>
      <c r="C214" s="70"/>
      <c r="D214" s="70"/>
    </row>
    <row r="215">
      <c r="A215" s="28" t="s">
        <v>76</v>
      </c>
      <c r="B215" s="95">
        <f>B125</f>
        <v>80119</v>
      </c>
    </row>
    <row r="216">
      <c r="A216" s="28" t="s">
        <v>95</v>
      </c>
      <c r="B216" s="95">
        <f>B153</f>
        <v>243280.8994</v>
      </c>
    </row>
    <row r="217">
      <c r="A217" s="28" t="s">
        <v>96</v>
      </c>
      <c r="B217" s="95"/>
    </row>
    <row r="218">
      <c r="A218" s="92" t="s">
        <v>98</v>
      </c>
      <c r="B218" s="94">
        <f>SUM(B219:B225)</f>
        <v>6312545.473</v>
      </c>
    </row>
    <row r="219">
      <c r="A219" s="28" t="s">
        <v>92</v>
      </c>
      <c r="B219" s="95">
        <f t="shared" ref="B219:B224" si="54">B211/1.12</f>
        <v>3551680.357</v>
      </c>
    </row>
    <row r="220">
      <c r="A220" s="28" t="s">
        <v>48</v>
      </c>
      <c r="B220" s="95">
        <f t="shared" si="54"/>
        <v>2109174.134</v>
      </c>
    </row>
    <row r="221">
      <c r="A221" s="28" t="s">
        <v>64</v>
      </c>
      <c r="B221" s="95">
        <f t="shared" si="54"/>
        <v>177263.3929</v>
      </c>
    </row>
    <row r="222">
      <c r="A222" s="28" t="s">
        <v>70</v>
      </c>
      <c r="B222" s="95">
        <f t="shared" si="54"/>
        <v>185677.6786</v>
      </c>
    </row>
    <row r="223">
      <c r="A223" s="28" t="s">
        <v>76</v>
      </c>
      <c r="B223" s="95">
        <f t="shared" si="54"/>
        <v>71534.82143</v>
      </c>
    </row>
    <row r="224">
      <c r="A224" s="28" t="s">
        <v>95</v>
      </c>
      <c r="B224" s="95">
        <f t="shared" si="54"/>
        <v>217215.0888</v>
      </c>
    </row>
    <row r="225">
      <c r="A225" s="28" t="s">
        <v>96</v>
      </c>
      <c r="B225" s="28"/>
    </row>
    <row r="226">
      <c r="A226" s="90" t="s">
        <v>41</v>
      </c>
      <c r="B226" s="96">
        <f>B168/1.18</f>
        <v>2213788.136</v>
      </c>
    </row>
    <row r="227">
      <c r="A227" s="90" t="s">
        <v>80</v>
      </c>
      <c r="B227" s="97">
        <f>B218-B226</f>
        <v>4098757.337</v>
      </c>
    </row>
    <row r="228">
      <c r="A228" s="92" t="s">
        <v>99</v>
      </c>
      <c r="B228" s="98">
        <f>B227/B218</f>
        <v>0.6493034157</v>
      </c>
    </row>
    <row r="229">
      <c r="A229" s="99" t="s">
        <v>100</v>
      </c>
      <c r="B229" s="100">
        <f>B28+B59+B110+B129+B157</f>
        <v>458763</v>
      </c>
    </row>
    <row r="230">
      <c r="A230" s="99" t="s">
        <v>101</v>
      </c>
      <c r="B230" s="100">
        <f>B58</f>
        <v>133800</v>
      </c>
    </row>
    <row r="231">
      <c r="A231" s="101" t="s">
        <v>102</v>
      </c>
      <c r="B231" s="95">
        <f>B227-(B229+B230)</f>
        <v>3506194.337</v>
      </c>
    </row>
    <row r="232">
      <c r="A232" s="92" t="s">
        <v>103</v>
      </c>
      <c r="B232" s="98">
        <f>B231/B218</f>
        <v>0.5554327256</v>
      </c>
    </row>
    <row r="233">
      <c r="A233" s="28" t="s">
        <v>104</v>
      </c>
      <c r="B233" s="95">
        <f>B172/1.18</f>
        <v>2256986.78</v>
      </c>
    </row>
    <row r="234">
      <c r="A234" s="101" t="s">
        <v>105</v>
      </c>
      <c r="B234" s="95">
        <f>B231-B233</f>
        <v>1249207.557</v>
      </c>
    </row>
    <row r="235">
      <c r="A235" s="92" t="s">
        <v>106</v>
      </c>
      <c r="B235" s="102">
        <f>B234/B218</f>
        <v>0.197892841</v>
      </c>
    </row>
    <row r="236">
      <c r="A236" s="28" t="s">
        <v>107</v>
      </c>
      <c r="B236" s="28">
        <v>550000.0</v>
      </c>
    </row>
    <row r="237">
      <c r="A237" s="28" t="s">
        <v>108</v>
      </c>
      <c r="B237" s="28">
        <v>380000.0</v>
      </c>
    </row>
    <row r="238">
      <c r="A238" s="28" t="s">
        <v>109</v>
      </c>
      <c r="B238" s="28">
        <v>70000.0</v>
      </c>
    </row>
    <row r="239">
      <c r="A239" s="28" t="s">
        <v>110</v>
      </c>
      <c r="B239" s="28">
        <v>18000.0</v>
      </c>
    </row>
    <row r="240">
      <c r="A240" s="28" t="s">
        <v>111</v>
      </c>
      <c r="B240" s="28">
        <v>45000.0</v>
      </c>
    </row>
    <row r="241">
      <c r="A241" s="101" t="s">
        <v>112</v>
      </c>
      <c r="B241" s="95">
        <f>B234-SUM(B236:B240)</f>
        <v>186207.5574</v>
      </c>
    </row>
    <row r="242">
      <c r="A242" s="92" t="s">
        <v>113</v>
      </c>
      <c r="B242" s="102">
        <f>B241/B218</f>
        <v>0.02949801443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19.5"/>
    <col customWidth="1" min="5" max="5" width="12.88"/>
    <col customWidth="1" min="9" max="9" width="14.63"/>
    <col customWidth="1" min="14" max="14" width="13.75"/>
    <col customWidth="1" min="16" max="16" width="15.13"/>
    <col customWidth="1" min="17" max="17" width="11.38"/>
  </cols>
  <sheetData>
    <row r="1">
      <c r="A1" s="1" t="s">
        <v>127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70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70"/>
    </row>
    <row r="3">
      <c r="A3" s="5" t="s">
        <v>2</v>
      </c>
      <c r="B3" s="6" t="s">
        <v>128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70"/>
    </row>
    <row r="4">
      <c r="A4" s="5" t="s">
        <v>21</v>
      </c>
      <c r="B4" s="8">
        <v>632837.04</v>
      </c>
      <c r="C4" s="9">
        <f t="shared" ref="C4:C32" si="1">G4+J4+L4</f>
        <v>343480</v>
      </c>
      <c r="D4" s="10">
        <f t="shared" ref="D4:D32" si="2">B4-C4</f>
        <v>289357.04</v>
      </c>
      <c r="E4" s="11">
        <f t="shared" ref="E4:E32" si="3">D4/B4*100</f>
        <v>45.7237838</v>
      </c>
      <c r="F4" s="12">
        <f t="shared" ref="F4:F32" si="4">D4/K4</f>
        <v>263.2912102</v>
      </c>
      <c r="G4" s="13"/>
      <c r="H4" s="8">
        <v>1136.0</v>
      </c>
      <c r="I4" s="8">
        <v>1130.0</v>
      </c>
      <c r="J4" s="14">
        <f t="shared" ref="J4:J32" si="5">K4*T4</f>
        <v>241780</v>
      </c>
      <c r="K4" s="8">
        <v>1099.0</v>
      </c>
      <c r="L4" s="15">
        <f t="shared" ref="L4:L32" si="6">I4*90</f>
        <v>101700</v>
      </c>
      <c r="M4" s="16">
        <f t="shared" ref="M4:M32" si="7">I4-K4-N4</f>
        <v>31</v>
      </c>
      <c r="N4" s="13"/>
      <c r="O4" s="17">
        <f t="shared" ref="O4:O10" si="8">M4/I4*100</f>
        <v>2.743362832</v>
      </c>
      <c r="P4" s="18">
        <f t="shared" ref="P4:P10" si="9">I4/H4*100</f>
        <v>99.47183099</v>
      </c>
      <c r="Q4" s="19">
        <f t="shared" ref="Q4:Q10" si="10">K4/I4*100</f>
        <v>97.25663717</v>
      </c>
      <c r="R4" s="12">
        <f t="shared" ref="R4:R10" si="11">G4/K4</f>
        <v>0</v>
      </c>
      <c r="S4" s="12">
        <f t="shared" ref="S4:S10" si="12">100-P4</f>
        <v>0.5281690141</v>
      </c>
      <c r="T4" s="65">
        <v>220.0</v>
      </c>
      <c r="U4" s="3"/>
      <c r="V4" s="3"/>
      <c r="W4" s="150" t="s">
        <v>2</v>
      </c>
      <c r="X4" s="70"/>
    </row>
    <row r="5">
      <c r="A5" s="5" t="s">
        <v>22</v>
      </c>
      <c r="B5" s="8">
        <v>23546.69</v>
      </c>
      <c r="C5" s="9">
        <f t="shared" si="1"/>
        <v>8480</v>
      </c>
      <c r="D5" s="10">
        <f t="shared" si="2"/>
        <v>15066.69</v>
      </c>
      <c r="E5" s="11">
        <f t="shared" si="3"/>
        <v>63.98644565</v>
      </c>
      <c r="F5" s="12">
        <f t="shared" si="4"/>
        <v>941.668125</v>
      </c>
      <c r="G5" s="13"/>
      <c r="H5" s="8">
        <v>16.0</v>
      </c>
      <c r="I5" s="8">
        <v>16.0</v>
      </c>
      <c r="J5" s="14">
        <f t="shared" si="5"/>
        <v>7040</v>
      </c>
      <c r="K5" s="8">
        <v>16.0</v>
      </c>
      <c r="L5" s="15">
        <f t="shared" si="6"/>
        <v>1440</v>
      </c>
      <c r="M5" s="16">
        <f t="shared" si="7"/>
        <v>0</v>
      </c>
      <c r="N5" s="13"/>
      <c r="O5" s="17">
        <f t="shared" si="8"/>
        <v>0</v>
      </c>
      <c r="P5" s="18">
        <f t="shared" si="9"/>
        <v>100</v>
      </c>
      <c r="Q5" s="19">
        <f t="shared" si="10"/>
        <v>100</v>
      </c>
      <c r="R5" s="12">
        <f t="shared" si="11"/>
        <v>0</v>
      </c>
      <c r="S5" s="12">
        <f t="shared" si="12"/>
        <v>0</v>
      </c>
      <c r="T5" s="65">
        <v>440.0</v>
      </c>
      <c r="U5" s="3"/>
      <c r="V5" s="3"/>
      <c r="W5" s="151" t="s">
        <v>21</v>
      </c>
      <c r="X5" s="70"/>
    </row>
    <row r="6">
      <c r="A6" s="5" t="s">
        <v>23</v>
      </c>
      <c r="B6" s="8">
        <v>348400.03</v>
      </c>
      <c r="C6" s="21">
        <f t="shared" si="1"/>
        <v>119966</v>
      </c>
      <c r="D6" s="22">
        <f t="shared" si="2"/>
        <v>228434.03</v>
      </c>
      <c r="E6" s="11">
        <f t="shared" si="3"/>
        <v>65.56659309</v>
      </c>
      <c r="F6" s="12">
        <f t="shared" si="4"/>
        <v>763.9934114</v>
      </c>
      <c r="G6" s="23"/>
      <c r="H6" s="8">
        <v>328.0</v>
      </c>
      <c r="I6" s="8">
        <v>323.0</v>
      </c>
      <c r="J6" s="14">
        <f t="shared" si="5"/>
        <v>90896</v>
      </c>
      <c r="K6" s="8">
        <v>299.0</v>
      </c>
      <c r="L6" s="15">
        <f t="shared" si="6"/>
        <v>29070</v>
      </c>
      <c r="M6" s="16">
        <f t="shared" si="7"/>
        <v>24</v>
      </c>
      <c r="N6" s="13"/>
      <c r="O6" s="17">
        <f t="shared" si="8"/>
        <v>7.430340557</v>
      </c>
      <c r="P6" s="18">
        <f t="shared" si="9"/>
        <v>98.47560976</v>
      </c>
      <c r="Q6" s="19">
        <f t="shared" si="10"/>
        <v>92.56965944</v>
      </c>
      <c r="R6" s="12">
        <f t="shared" si="11"/>
        <v>0</v>
      </c>
      <c r="S6" s="12">
        <f t="shared" si="12"/>
        <v>1.524390244</v>
      </c>
      <c r="T6" s="65">
        <v>304.0</v>
      </c>
      <c r="U6" s="3"/>
      <c r="V6" s="3"/>
      <c r="W6" s="151" t="s">
        <v>23</v>
      </c>
      <c r="X6" s="70"/>
    </row>
    <row r="7">
      <c r="A7" s="5" t="s">
        <v>24</v>
      </c>
      <c r="B7" s="8">
        <v>8965.27</v>
      </c>
      <c r="C7" s="21">
        <f t="shared" si="1"/>
        <v>2792</v>
      </c>
      <c r="D7" s="22">
        <f t="shared" si="2"/>
        <v>6173.27</v>
      </c>
      <c r="E7" s="11">
        <f t="shared" si="3"/>
        <v>68.85760273</v>
      </c>
      <c r="F7" s="12">
        <f t="shared" si="4"/>
        <v>1543.3175</v>
      </c>
      <c r="G7" s="23"/>
      <c r="H7" s="8">
        <v>5.0</v>
      </c>
      <c r="I7" s="8">
        <v>4.0</v>
      </c>
      <c r="J7" s="14">
        <f t="shared" si="5"/>
        <v>2432</v>
      </c>
      <c r="K7" s="8">
        <v>4.0</v>
      </c>
      <c r="L7" s="15">
        <f t="shared" si="6"/>
        <v>360</v>
      </c>
      <c r="M7" s="16">
        <f t="shared" si="7"/>
        <v>0</v>
      </c>
      <c r="N7" s="13"/>
      <c r="O7" s="17">
        <f t="shared" si="8"/>
        <v>0</v>
      </c>
      <c r="P7" s="18">
        <f t="shared" si="9"/>
        <v>80</v>
      </c>
      <c r="Q7" s="19">
        <f t="shared" si="10"/>
        <v>100</v>
      </c>
      <c r="R7" s="12">
        <f t="shared" si="11"/>
        <v>0</v>
      </c>
      <c r="S7" s="12">
        <f t="shared" si="12"/>
        <v>20</v>
      </c>
      <c r="T7" s="65">
        <v>608.0</v>
      </c>
      <c r="U7" s="3"/>
      <c r="V7" s="3"/>
      <c r="W7" s="151" t="s">
        <v>25</v>
      </c>
      <c r="X7" s="70"/>
    </row>
    <row r="8">
      <c r="A8" s="5" t="s">
        <v>25</v>
      </c>
      <c r="B8" s="8">
        <v>540771.57</v>
      </c>
      <c r="C8" s="9">
        <f t="shared" si="1"/>
        <v>297484</v>
      </c>
      <c r="D8" s="10">
        <f t="shared" si="2"/>
        <v>243287.57</v>
      </c>
      <c r="E8" s="11">
        <f t="shared" si="3"/>
        <v>44.98897196</v>
      </c>
      <c r="F8" s="12">
        <f t="shared" si="4"/>
        <v>620.6315561</v>
      </c>
      <c r="G8" s="13"/>
      <c r="H8" s="8">
        <v>441.0</v>
      </c>
      <c r="I8" s="8">
        <v>422.0</v>
      </c>
      <c r="J8" s="14">
        <f t="shared" si="5"/>
        <v>259504</v>
      </c>
      <c r="K8" s="8">
        <v>392.0</v>
      </c>
      <c r="L8" s="15">
        <f t="shared" si="6"/>
        <v>37980</v>
      </c>
      <c r="M8" s="16">
        <f t="shared" si="7"/>
        <v>30</v>
      </c>
      <c r="N8" s="13"/>
      <c r="O8" s="17">
        <f t="shared" si="8"/>
        <v>7.109004739</v>
      </c>
      <c r="P8" s="18">
        <f t="shared" si="9"/>
        <v>95.69160998</v>
      </c>
      <c r="Q8" s="19">
        <f t="shared" si="10"/>
        <v>92.89099526</v>
      </c>
      <c r="R8" s="12">
        <f t="shared" si="11"/>
        <v>0</v>
      </c>
      <c r="S8" s="12">
        <f t="shared" si="12"/>
        <v>4.308390023</v>
      </c>
      <c r="T8" s="65">
        <v>662.0</v>
      </c>
      <c r="U8" s="3"/>
      <c r="V8" s="3"/>
      <c r="W8" s="151" t="s">
        <v>26</v>
      </c>
      <c r="X8" s="70"/>
    </row>
    <row r="9">
      <c r="A9" s="5" t="s">
        <v>26</v>
      </c>
      <c r="B9" s="8">
        <v>63290.51</v>
      </c>
      <c r="C9" s="9">
        <f t="shared" si="1"/>
        <v>32504</v>
      </c>
      <c r="D9" s="10">
        <f t="shared" si="2"/>
        <v>30786.51</v>
      </c>
      <c r="E9" s="11">
        <f t="shared" si="3"/>
        <v>48.64316941</v>
      </c>
      <c r="F9" s="12">
        <f t="shared" si="4"/>
        <v>265.4009483</v>
      </c>
      <c r="G9" s="13"/>
      <c r="H9" s="8">
        <v>126.0</v>
      </c>
      <c r="I9" s="8">
        <v>124.0</v>
      </c>
      <c r="J9" s="14">
        <f t="shared" si="5"/>
        <v>21344</v>
      </c>
      <c r="K9" s="8">
        <v>116.0</v>
      </c>
      <c r="L9" s="15">
        <f t="shared" si="6"/>
        <v>11160</v>
      </c>
      <c r="M9" s="16">
        <f t="shared" si="7"/>
        <v>8</v>
      </c>
      <c r="N9" s="13"/>
      <c r="O9" s="17">
        <f t="shared" si="8"/>
        <v>6.451612903</v>
      </c>
      <c r="P9" s="18">
        <f t="shared" si="9"/>
        <v>98.41269841</v>
      </c>
      <c r="Q9" s="19">
        <f t="shared" si="10"/>
        <v>93.5483871</v>
      </c>
      <c r="R9" s="12">
        <f t="shared" si="11"/>
        <v>0</v>
      </c>
      <c r="S9" s="12">
        <f t="shared" si="12"/>
        <v>1.587301587</v>
      </c>
      <c r="T9" s="65">
        <v>184.0</v>
      </c>
      <c r="U9" s="3"/>
      <c r="V9" s="3"/>
      <c r="W9" s="151" t="s">
        <v>28</v>
      </c>
      <c r="X9" s="70"/>
    </row>
    <row r="10">
      <c r="A10" s="5" t="s">
        <v>27</v>
      </c>
      <c r="B10" s="8">
        <v>29336.01</v>
      </c>
      <c r="C10" s="9">
        <f t="shared" si="1"/>
        <v>14746</v>
      </c>
      <c r="D10" s="10">
        <f t="shared" si="2"/>
        <v>14590.01</v>
      </c>
      <c r="E10" s="11">
        <f t="shared" si="3"/>
        <v>49.73413221</v>
      </c>
      <c r="F10" s="12">
        <f t="shared" si="4"/>
        <v>455.9378125</v>
      </c>
      <c r="G10" s="13"/>
      <c r="H10" s="8">
        <v>35.0</v>
      </c>
      <c r="I10" s="8">
        <v>33.0</v>
      </c>
      <c r="J10" s="14">
        <f t="shared" si="5"/>
        <v>11776</v>
      </c>
      <c r="K10" s="8">
        <v>32.0</v>
      </c>
      <c r="L10" s="15">
        <f t="shared" si="6"/>
        <v>2970</v>
      </c>
      <c r="M10" s="16">
        <f t="shared" si="7"/>
        <v>1</v>
      </c>
      <c r="N10" s="13"/>
      <c r="O10" s="17">
        <f t="shared" si="8"/>
        <v>3.03030303</v>
      </c>
      <c r="P10" s="18">
        <f t="shared" si="9"/>
        <v>94.28571429</v>
      </c>
      <c r="Q10" s="19">
        <f t="shared" si="10"/>
        <v>96.96969697</v>
      </c>
      <c r="R10" s="12">
        <f t="shared" si="11"/>
        <v>0</v>
      </c>
      <c r="S10" s="12">
        <f t="shared" si="12"/>
        <v>5.714285714</v>
      </c>
      <c r="T10" s="65">
        <v>368.0</v>
      </c>
      <c r="U10" s="3"/>
      <c r="V10" s="3"/>
      <c r="W10" s="151" t="s">
        <v>29</v>
      </c>
      <c r="X10" s="70"/>
    </row>
    <row r="11">
      <c r="A11" s="5" t="s">
        <v>28</v>
      </c>
      <c r="B11" s="8">
        <v>0.0</v>
      </c>
      <c r="C11" s="9">
        <f t="shared" si="1"/>
        <v>0</v>
      </c>
      <c r="D11" s="10">
        <f t="shared" si="2"/>
        <v>0</v>
      </c>
      <c r="E11" s="11" t="str">
        <f t="shared" si="3"/>
        <v>#DIV/0!</v>
      </c>
      <c r="F11" s="12" t="str">
        <f t="shared" si="4"/>
        <v>#DIV/0!</v>
      </c>
      <c r="G11" s="13"/>
      <c r="H11" s="8">
        <v>0.0</v>
      </c>
      <c r="I11" s="8">
        <v>0.0</v>
      </c>
      <c r="J11" s="14">
        <f t="shared" si="5"/>
        <v>0</v>
      </c>
      <c r="K11" s="8">
        <v>0.0</v>
      </c>
      <c r="L11" s="15">
        <f t="shared" si="6"/>
        <v>0</v>
      </c>
      <c r="M11" s="16">
        <f t="shared" si="7"/>
        <v>0</v>
      </c>
      <c r="N11" s="13"/>
      <c r="O11" s="152"/>
      <c r="P11" s="153"/>
      <c r="Q11" s="154"/>
      <c r="R11" s="155"/>
      <c r="S11" s="155"/>
      <c r="T11" s="65">
        <v>206.0</v>
      </c>
      <c r="U11" s="3"/>
      <c r="V11" s="3"/>
      <c r="W11" s="151" t="s">
        <v>31</v>
      </c>
      <c r="X11" s="70"/>
    </row>
    <row r="12">
      <c r="A12" s="5" t="s">
        <v>29</v>
      </c>
      <c r="B12" s="8">
        <v>167997.29</v>
      </c>
      <c r="C12" s="9">
        <f t="shared" si="1"/>
        <v>57994</v>
      </c>
      <c r="D12" s="10">
        <f t="shared" si="2"/>
        <v>110003.29</v>
      </c>
      <c r="E12" s="11">
        <f t="shared" si="3"/>
        <v>65.47920505</v>
      </c>
      <c r="F12" s="12">
        <f t="shared" si="4"/>
        <v>769.2537762</v>
      </c>
      <c r="G12" s="13"/>
      <c r="H12" s="8">
        <v>158.0</v>
      </c>
      <c r="I12" s="8">
        <v>155.0</v>
      </c>
      <c r="J12" s="14">
        <f t="shared" si="5"/>
        <v>44044</v>
      </c>
      <c r="K12" s="8">
        <v>143.0</v>
      </c>
      <c r="L12" s="15">
        <f t="shared" si="6"/>
        <v>13950</v>
      </c>
      <c r="M12" s="16">
        <f t="shared" si="7"/>
        <v>11</v>
      </c>
      <c r="N12" s="8">
        <v>1.0</v>
      </c>
      <c r="O12" s="17">
        <f t="shared" ref="O12:O14" si="13">M12/I12*100</f>
        <v>7.096774194</v>
      </c>
      <c r="P12" s="18">
        <f t="shared" ref="P12:P14" si="14">I12/H12*100</f>
        <v>98.10126582</v>
      </c>
      <c r="Q12" s="19">
        <f t="shared" ref="Q12:Q14" si="15">K12/I12*100</f>
        <v>92.25806452</v>
      </c>
      <c r="R12" s="12">
        <f t="shared" ref="R12:R14" si="16">G12/K12</f>
        <v>0</v>
      </c>
      <c r="S12" s="12">
        <f t="shared" ref="S12:S14" si="17">100-P12</f>
        <v>1.898734177</v>
      </c>
      <c r="T12" s="65">
        <v>308.0</v>
      </c>
      <c r="U12" s="3"/>
      <c r="V12" s="3"/>
      <c r="W12" s="151" t="s">
        <v>32</v>
      </c>
      <c r="X12" s="70"/>
    </row>
    <row r="13">
      <c r="A13" s="5" t="s">
        <v>30</v>
      </c>
      <c r="B13" s="8">
        <v>8766.1</v>
      </c>
      <c r="C13" s="9">
        <f t="shared" si="1"/>
        <v>2914</v>
      </c>
      <c r="D13" s="10">
        <f t="shared" si="2"/>
        <v>5852.1</v>
      </c>
      <c r="E13" s="11">
        <f t="shared" si="3"/>
        <v>66.75830757</v>
      </c>
      <c r="F13" s="12">
        <f t="shared" si="4"/>
        <v>1463.025</v>
      </c>
      <c r="G13" s="13"/>
      <c r="H13" s="8">
        <v>5.0</v>
      </c>
      <c r="I13" s="8">
        <v>5.0</v>
      </c>
      <c r="J13" s="14">
        <f t="shared" si="5"/>
        <v>2464</v>
      </c>
      <c r="K13" s="8">
        <v>4.0</v>
      </c>
      <c r="L13" s="15">
        <f t="shared" si="6"/>
        <v>450</v>
      </c>
      <c r="M13" s="16">
        <f t="shared" si="7"/>
        <v>1</v>
      </c>
      <c r="N13" s="13"/>
      <c r="O13" s="17">
        <f t="shared" si="13"/>
        <v>20</v>
      </c>
      <c r="P13" s="18">
        <f t="shared" si="14"/>
        <v>100</v>
      </c>
      <c r="Q13" s="19">
        <f t="shared" si="15"/>
        <v>80</v>
      </c>
      <c r="R13" s="12">
        <f t="shared" si="16"/>
        <v>0</v>
      </c>
      <c r="S13" s="12">
        <f t="shared" si="17"/>
        <v>0</v>
      </c>
      <c r="T13" s="65">
        <v>616.0</v>
      </c>
      <c r="U13" s="3"/>
      <c r="V13" s="3"/>
      <c r="W13" s="151" t="s">
        <v>33</v>
      </c>
      <c r="X13" s="70"/>
    </row>
    <row r="14">
      <c r="A14" s="5" t="s">
        <v>31</v>
      </c>
      <c r="B14" s="8">
        <v>78617.16</v>
      </c>
      <c r="C14" s="21">
        <f t="shared" si="1"/>
        <v>40515</v>
      </c>
      <c r="D14" s="22">
        <f t="shared" si="2"/>
        <v>38102.16</v>
      </c>
      <c r="E14" s="11">
        <f t="shared" si="3"/>
        <v>48.46544953</v>
      </c>
      <c r="F14" s="12">
        <f t="shared" si="4"/>
        <v>494.8332468</v>
      </c>
      <c r="G14" s="23"/>
      <c r="H14" s="8">
        <v>82.0</v>
      </c>
      <c r="I14" s="8">
        <v>78.0</v>
      </c>
      <c r="J14" s="14">
        <f t="shared" si="5"/>
        <v>33495</v>
      </c>
      <c r="K14" s="8">
        <v>77.0</v>
      </c>
      <c r="L14" s="15">
        <f t="shared" si="6"/>
        <v>7020</v>
      </c>
      <c r="M14" s="16">
        <f t="shared" si="7"/>
        <v>1</v>
      </c>
      <c r="N14" s="13"/>
      <c r="O14" s="17">
        <f t="shared" si="13"/>
        <v>1.282051282</v>
      </c>
      <c r="P14" s="18">
        <f t="shared" si="14"/>
        <v>95.12195122</v>
      </c>
      <c r="Q14" s="19">
        <f t="shared" si="15"/>
        <v>98.71794872</v>
      </c>
      <c r="R14" s="12">
        <f t="shared" si="16"/>
        <v>0</v>
      </c>
      <c r="S14" s="12">
        <f t="shared" si="17"/>
        <v>4.87804878</v>
      </c>
      <c r="T14" s="65">
        <v>435.0</v>
      </c>
      <c r="U14" s="3"/>
      <c r="V14" s="3"/>
      <c r="W14" s="151" t="s">
        <v>131</v>
      </c>
      <c r="X14" s="70"/>
    </row>
    <row r="15">
      <c r="A15" s="5" t="s">
        <v>32</v>
      </c>
      <c r="B15" s="8">
        <v>0.0</v>
      </c>
      <c r="C15" s="21">
        <f t="shared" si="1"/>
        <v>0</v>
      </c>
      <c r="D15" s="22">
        <f t="shared" si="2"/>
        <v>0</v>
      </c>
      <c r="E15" s="11" t="str">
        <f t="shared" si="3"/>
        <v>#DIV/0!</v>
      </c>
      <c r="F15" s="12" t="str">
        <f t="shared" si="4"/>
        <v>#DIV/0!</v>
      </c>
      <c r="G15" s="23"/>
      <c r="H15" s="8">
        <v>0.0</v>
      </c>
      <c r="I15" s="8">
        <v>0.0</v>
      </c>
      <c r="J15" s="14">
        <f t="shared" si="5"/>
        <v>0</v>
      </c>
      <c r="K15" s="8">
        <v>0.0</v>
      </c>
      <c r="L15" s="15">
        <f t="shared" si="6"/>
        <v>0</v>
      </c>
      <c r="M15" s="16">
        <f t="shared" si="7"/>
        <v>0</v>
      </c>
      <c r="N15" s="13"/>
      <c r="O15" s="152"/>
      <c r="P15" s="153"/>
      <c r="Q15" s="154"/>
      <c r="R15" s="155"/>
      <c r="S15" s="155"/>
      <c r="T15" s="65">
        <v>699.0</v>
      </c>
      <c r="U15" s="3"/>
      <c r="V15" s="3"/>
      <c r="W15" s="156"/>
      <c r="X15" s="70"/>
    </row>
    <row r="16">
      <c r="A16" s="5" t="s">
        <v>33</v>
      </c>
      <c r="B16" s="8">
        <v>1333289.05</v>
      </c>
      <c r="C16" s="21">
        <f t="shared" si="1"/>
        <v>634218</v>
      </c>
      <c r="D16" s="22">
        <f t="shared" si="2"/>
        <v>699071.05</v>
      </c>
      <c r="E16" s="11">
        <f t="shared" si="3"/>
        <v>52.43207015</v>
      </c>
      <c r="F16" s="12">
        <f t="shared" si="4"/>
        <v>962.9077824</v>
      </c>
      <c r="G16" s="23"/>
      <c r="H16" s="8">
        <v>788.0</v>
      </c>
      <c r="I16" s="8">
        <v>771.0</v>
      </c>
      <c r="J16" s="14">
        <f t="shared" si="5"/>
        <v>564828</v>
      </c>
      <c r="K16" s="8">
        <v>726.0</v>
      </c>
      <c r="L16" s="15">
        <f t="shared" si="6"/>
        <v>69390</v>
      </c>
      <c r="M16" s="16">
        <f t="shared" si="7"/>
        <v>45</v>
      </c>
      <c r="N16" s="13"/>
      <c r="O16" s="17">
        <f t="shared" ref="O16:O32" si="18">M16/I16*100</f>
        <v>5.836575875</v>
      </c>
      <c r="P16" s="18">
        <f t="shared" ref="P16:P32" si="19">I16/H16*100</f>
        <v>97.84263959</v>
      </c>
      <c r="Q16" s="19">
        <f t="shared" ref="Q16:Q32" si="20">K16/I16*100</f>
        <v>94.16342412</v>
      </c>
      <c r="R16" s="12">
        <f t="shared" ref="R16:R32" si="21">G16/K16</f>
        <v>0</v>
      </c>
      <c r="S16" s="12">
        <f t="shared" ref="S16:S32" si="22">100-P16</f>
        <v>2.157360406</v>
      </c>
      <c r="T16" s="65">
        <v>778.0</v>
      </c>
      <c r="U16" s="3"/>
      <c r="V16" s="3"/>
      <c r="W16" s="156"/>
      <c r="X16" s="70"/>
    </row>
    <row r="17">
      <c r="A17" s="5" t="s">
        <v>34</v>
      </c>
      <c r="B17" s="8">
        <v>31338.48</v>
      </c>
      <c r="C17" s="21">
        <f t="shared" si="1"/>
        <v>16460</v>
      </c>
      <c r="D17" s="22">
        <f t="shared" si="2"/>
        <v>14878.48</v>
      </c>
      <c r="E17" s="11">
        <f t="shared" si="3"/>
        <v>47.47671234</v>
      </c>
      <c r="F17" s="12">
        <f t="shared" si="4"/>
        <v>1487.848</v>
      </c>
      <c r="G17" s="23"/>
      <c r="H17" s="8">
        <v>12.0</v>
      </c>
      <c r="I17" s="8">
        <v>10.0</v>
      </c>
      <c r="J17" s="14">
        <f t="shared" si="5"/>
        <v>15560</v>
      </c>
      <c r="K17" s="8">
        <v>10.0</v>
      </c>
      <c r="L17" s="15">
        <f t="shared" si="6"/>
        <v>900</v>
      </c>
      <c r="M17" s="16">
        <f t="shared" si="7"/>
        <v>0</v>
      </c>
      <c r="N17" s="13"/>
      <c r="O17" s="17">
        <f t="shared" si="18"/>
        <v>0</v>
      </c>
      <c r="P17" s="18">
        <f t="shared" si="19"/>
        <v>83.33333333</v>
      </c>
      <c r="Q17" s="19">
        <f t="shared" si="20"/>
        <v>100</v>
      </c>
      <c r="R17" s="12">
        <f t="shared" si="21"/>
        <v>0</v>
      </c>
      <c r="S17" s="12">
        <f t="shared" si="22"/>
        <v>16.66666667</v>
      </c>
      <c r="T17" s="65">
        <v>1556.0</v>
      </c>
      <c r="U17" s="3"/>
      <c r="V17" s="3"/>
      <c r="W17" s="3"/>
      <c r="X17" s="70"/>
    </row>
    <row r="18">
      <c r="A18" s="5" t="s">
        <v>131</v>
      </c>
      <c r="B18" s="8">
        <v>589604.84</v>
      </c>
      <c r="C18" s="21">
        <f t="shared" si="1"/>
        <v>364541</v>
      </c>
      <c r="D18" s="22">
        <f t="shared" si="2"/>
        <v>225063.84</v>
      </c>
      <c r="E18" s="11">
        <f t="shared" si="3"/>
        <v>38.17197973</v>
      </c>
      <c r="F18" s="12">
        <f t="shared" si="4"/>
        <v>684.0846201</v>
      </c>
      <c r="G18" s="23"/>
      <c r="H18" s="8">
        <v>389.0</v>
      </c>
      <c r="I18" s="8">
        <v>362.0</v>
      </c>
      <c r="J18" s="14">
        <f t="shared" si="5"/>
        <v>331961</v>
      </c>
      <c r="K18" s="8">
        <v>329.0</v>
      </c>
      <c r="L18" s="15">
        <f t="shared" si="6"/>
        <v>32580</v>
      </c>
      <c r="M18" s="16">
        <f t="shared" si="7"/>
        <v>32</v>
      </c>
      <c r="N18" s="8">
        <v>1.0</v>
      </c>
      <c r="O18" s="17">
        <f t="shared" si="18"/>
        <v>8.839779006</v>
      </c>
      <c r="P18" s="18">
        <f t="shared" si="19"/>
        <v>93.05912596</v>
      </c>
      <c r="Q18" s="19">
        <f t="shared" si="20"/>
        <v>90.8839779</v>
      </c>
      <c r="R18" s="12">
        <f t="shared" si="21"/>
        <v>0</v>
      </c>
      <c r="S18" s="12">
        <f t="shared" si="22"/>
        <v>6.940874036</v>
      </c>
      <c r="T18" s="65">
        <v>1009.0</v>
      </c>
      <c r="U18" s="3"/>
      <c r="V18" s="3"/>
      <c r="W18" s="3"/>
      <c r="X18" s="70"/>
    </row>
    <row r="19">
      <c r="A19" s="5" t="s">
        <v>37</v>
      </c>
      <c r="B19" s="8">
        <v>73782.27</v>
      </c>
      <c r="C19" s="21">
        <f t="shared" si="1"/>
        <v>57480</v>
      </c>
      <c r="D19" s="22">
        <f t="shared" si="2"/>
        <v>16302.27</v>
      </c>
      <c r="E19" s="11">
        <f t="shared" si="3"/>
        <v>22.09510496</v>
      </c>
      <c r="F19" s="12">
        <f t="shared" si="4"/>
        <v>97.03732143</v>
      </c>
      <c r="G19" s="23"/>
      <c r="H19" s="8">
        <v>186.0</v>
      </c>
      <c r="I19" s="8">
        <v>172.0</v>
      </c>
      <c r="J19" s="14">
        <f t="shared" si="5"/>
        <v>42000</v>
      </c>
      <c r="K19" s="8">
        <v>168.0</v>
      </c>
      <c r="L19" s="15">
        <f t="shared" si="6"/>
        <v>15480</v>
      </c>
      <c r="M19" s="16">
        <f t="shared" si="7"/>
        <v>4</v>
      </c>
      <c r="N19" s="13"/>
      <c r="O19" s="17">
        <f t="shared" si="18"/>
        <v>2.325581395</v>
      </c>
      <c r="P19" s="18">
        <f t="shared" si="19"/>
        <v>92.47311828</v>
      </c>
      <c r="Q19" s="19">
        <f t="shared" si="20"/>
        <v>97.6744186</v>
      </c>
      <c r="R19" s="12">
        <f t="shared" si="21"/>
        <v>0</v>
      </c>
      <c r="S19" s="12">
        <f t="shared" si="22"/>
        <v>7.52688172</v>
      </c>
      <c r="T19" s="65">
        <v>250.0</v>
      </c>
      <c r="U19" s="3"/>
      <c r="V19" s="3"/>
      <c r="W19" s="3"/>
      <c r="X19" s="70"/>
    </row>
    <row r="20">
      <c r="A20" s="5" t="s">
        <v>132</v>
      </c>
      <c r="B20" s="8">
        <v>58295.38</v>
      </c>
      <c r="C20" s="21">
        <f t="shared" si="1"/>
        <v>25740</v>
      </c>
      <c r="D20" s="22">
        <f t="shared" si="2"/>
        <v>32555.38</v>
      </c>
      <c r="E20" s="11">
        <f t="shared" si="3"/>
        <v>55.84555757</v>
      </c>
      <c r="F20" s="12">
        <f t="shared" si="4"/>
        <v>493.2633333</v>
      </c>
      <c r="G20" s="23"/>
      <c r="H20" s="8">
        <v>111.0</v>
      </c>
      <c r="I20" s="8">
        <v>66.0</v>
      </c>
      <c r="J20" s="14">
        <f t="shared" si="5"/>
        <v>19800</v>
      </c>
      <c r="K20" s="8">
        <v>66.0</v>
      </c>
      <c r="L20" s="15">
        <f t="shared" si="6"/>
        <v>5940</v>
      </c>
      <c r="M20" s="16">
        <f t="shared" si="7"/>
        <v>0</v>
      </c>
      <c r="N20" s="13"/>
      <c r="O20" s="17">
        <f t="shared" si="18"/>
        <v>0</v>
      </c>
      <c r="P20" s="18">
        <f t="shared" si="19"/>
        <v>59.45945946</v>
      </c>
      <c r="Q20" s="19">
        <f t="shared" si="20"/>
        <v>100</v>
      </c>
      <c r="R20" s="12">
        <f t="shared" si="21"/>
        <v>0</v>
      </c>
      <c r="S20" s="12">
        <f t="shared" si="22"/>
        <v>40.54054054</v>
      </c>
      <c r="T20" s="65">
        <v>300.0</v>
      </c>
      <c r="U20" s="3"/>
      <c r="V20" s="3"/>
      <c r="W20" s="3"/>
      <c r="X20" s="70"/>
    </row>
    <row r="21">
      <c r="A21" s="5" t="s">
        <v>133</v>
      </c>
      <c r="B21" s="8">
        <v>44191.69</v>
      </c>
      <c r="C21" s="21">
        <f t="shared" si="1"/>
        <v>23880</v>
      </c>
      <c r="D21" s="22">
        <f t="shared" si="2"/>
        <v>20311.69</v>
      </c>
      <c r="E21" s="11">
        <f t="shared" si="3"/>
        <v>45.96269118</v>
      </c>
      <c r="F21" s="12">
        <f t="shared" si="4"/>
        <v>332.9785246</v>
      </c>
      <c r="G21" s="23"/>
      <c r="H21" s="8">
        <v>72.0</v>
      </c>
      <c r="I21" s="8">
        <v>62.0</v>
      </c>
      <c r="J21" s="14">
        <f t="shared" si="5"/>
        <v>18300</v>
      </c>
      <c r="K21" s="8">
        <v>61.0</v>
      </c>
      <c r="L21" s="15">
        <f t="shared" si="6"/>
        <v>5580</v>
      </c>
      <c r="M21" s="16">
        <f t="shared" si="7"/>
        <v>0</v>
      </c>
      <c r="N21" s="8">
        <v>1.0</v>
      </c>
      <c r="O21" s="17">
        <f t="shared" si="18"/>
        <v>0</v>
      </c>
      <c r="P21" s="18">
        <f t="shared" si="19"/>
        <v>86.11111111</v>
      </c>
      <c r="Q21" s="19">
        <f t="shared" si="20"/>
        <v>98.38709677</v>
      </c>
      <c r="R21" s="12">
        <f t="shared" si="21"/>
        <v>0</v>
      </c>
      <c r="S21" s="12">
        <f t="shared" si="22"/>
        <v>13.88888889</v>
      </c>
      <c r="T21" s="65">
        <v>300.0</v>
      </c>
      <c r="U21" s="3"/>
      <c r="V21" s="3"/>
      <c r="W21" s="3"/>
      <c r="X21" s="70"/>
    </row>
    <row r="22">
      <c r="A22" s="5" t="s">
        <v>134</v>
      </c>
      <c r="B22" s="8">
        <v>215784.73</v>
      </c>
      <c r="C22" s="21">
        <f t="shared" si="1"/>
        <v>127260</v>
      </c>
      <c r="D22" s="22">
        <f t="shared" si="2"/>
        <v>88524.73</v>
      </c>
      <c r="E22" s="11">
        <f t="shared" si="3"/>
        <v>41.02455721</v>
      </c>
      <c r="F22" s="12">
        <f t="shared" si="4"/>
        <v>1066.563012</v>
      </c>
      <c r="G22" s="23"/>
      <c r="H22" s="8">
        <v>89.0</v>
      </c>
      <c r="I22" s="8">
        <v>86.0</v>
      </c>
      <c r="J22" s="14">
        <f t="shared" si="5"/>
        <v>119520</v>
      </c>
      <c r="K22" s="8">
        <v>83.0</v>
      </c>
      <c r="L22" s="15">
        <f t="shared" si="6"/>
        <v>7740</v>
      </c>
      <c r="M22" s="16">
        <f t="shared" si="7"/>
        <v>3</v>
      </c>
      <c r="N22" s="13"/>
      <c r="O22" s="17">
        <f t="shared" si="18"/>
        <v>3.488372093</v>
      </c>
      <c r="P22" s="18">
        <f t="shared" si="19"/>
        <v>96.62921348</v>
      </c>
      <c r="Q22" s="19">
        <f t="shared" si="20"/>
        <v>96.51162791</v>
      </c>
      <c r="R22" s="12">
        <f t="shared" si="21"/>
        <v>0</v>
      </c>
      <c r="S22" s="12">
        <f t="shared" si="22"/>
        <v>3.370786517</v>
      </c>
      <c r="T22" s="65">
        <v>1440.0</v>
      </c>
      <c r="U22" s="3"/>
      <c r="V22" s="3"/>
      <c r="W22" s="3"/>
      <c r="X22" s="70"/>
    </row>
    <row r="23">
      <c r="A23" s="5" t="s">
        <v>135</v>
      </c>
      <c r="B23" s="8">
        <v>112465.89</v>
      </c>
      <c r="C23" s="21">
        <f t="shared" si="1"/>
        <v>80891</v>
      </c>
      <c r="D23" s="22">
        <f t="shared" si="2"/>
        <v>31574.89</v>
      </c>
      <c r="E23" s="11">
        <f t="shared" si="3"/>
        <v>28.07508125</v>
      </c>
      <c r="F23" s="12">
        <f t="shared" si="4"/>
        <v>734.2997674</v>
      </c>
      <c r="G23" s="23"/>
      <c r="H23" s="8">
        <v>46.0</v>
      </c>
      <c r="I23" s="8">
        <v>45.0</v>
      </c>
      <c r="J23" s="14">
        <f t="shared" si="5"/>
        <v>76841</v>
      </c>
      <c r="K23" s="8">
        <v>43.0</v>
      </c>
      <c r="L23" s="15">
        <f t="shared" si="6"/>
        <v>4050</v>
      </c>
      <c r="M23" s="16">
        <f t="shared" si="7"/>
        <v>2</v>
      </c>
      <c r="N23" s="13"/>
      <c r="O23" s="17">
        <f t="shared" si="18"/>
        <v>4.444444444</v>
      </c>
      <c r="P23" s="18">
        <f t="shared" si="19"/>
        <v>97.82608696</v>
      </c>
      <c r="Q23" s="19">
        <f t="shared" si="20"/>
        <v>95.55555556</v>
      </c>
      <c r="R23" s="12">
        <f t="shared" si="21"/>
        <v>0</v>
      </c>
      <c r="S23" s="12">
        <f t="shared" si="22"/>
        <v>2.173913043</v>
      </c>
      <c r="T23" s="65">
        <v>1787.0</v>
      </c>
      <c r="U23" s="3"/>
      <c r="V23" s="3"/>
      <c r="W23" s="3"/>
      <c r="X23" s="70"/>
    </row>
    <row r="24">
      <c r="A24" s="5" t="s">
        <v>136</v>
      </c>
      <c r="B24" s="8">
        <v>13958.41</v>
      </c>
      <c r="C24" s="21">
        <f t="shared" si="1"/>
        <v>5852</v>
      </c>
      <c r="D24" s="22">
        <f t="shared" si="2"/>
        <v>8106.41</v>
      </c>
      <c r="E24" s="11">
        <f t="shared" si="3"/>
        <v>58.07545415</v>
      </c>
      <c r="F24" s="12">
        <f t="shared" si="4"/>
        <v>1013.30125</v>
      </c>
      <c r="G24" s="23"/>
      <c r="H24" s="8">
        <v>12.0</v>
      </c>
      <c r="I24" s="8">
        <v>10.0</v>
      </c>
      <c r="J24" s="14">
        <f t="shared" si="5"/>
        <v>4952</v>
      </c>
      <c r="K24" s="8">
        <v>8.0</v>
      </c>
      <c r="L24" s="15">
        <f t="shared" si="6"/>
        <v>900</v>
      </c>
      <c r="M24" s="16">
        <f t="shared" si="7"/>
        <v>2</v>
      </c>
      <c r="N24" s="13"/>
      <c r="O24" s="17">
        <f t="shared" si="18"/>
        <v>20</v>
      </c>
      <c r="P24" s="18">
        <f t="shared" si="19"/>
        <v>83.33333333</v>
      </c>
      <c r="Q24" s="19">
        <f t="shared" si="20"/>
        <v>80</v>
      </c>
      <c r="R24" s="12">
        <f t="shared" si="21"/>
        <v>0</v>
      </c>
      <c r="S24" s="12">
        <f t="shared" si="22"/>
        <v>16.66666667</v>
      </c>
      <c r="T24" s="65">
        <v>619.0</v>
      </c>
      <c r="U24" s="3"/>
      <c r="V24" s="3"/>
      <c r="W24" s="3"/>
      <c r="X24" s="70"/>
    </row>
    <row r="25">
      <c r="A25" s="5" t="s">
        <v>137</v>
      </c>
      <c r="B25" s="8">
        <v>76710.99</v>
      </c>
      <c r="C25" s="21">
        <f t="shared" si="1"/>
        <v>31976</v>
      </c>
      <c r="D25" s="22">
        <f t="shared" si="2"/>
        <v>44734.99</v>
      </c>
      <c r="E25" s="11">
        <f t="shared" si="3"/>
        <v>58.31627254</v>
      </c>
      <c r="F25" s="12">
        <f t="shared" si="4"/>
        <v>698.9842188</v>
      </c>
      <c r="G25" s="23"/>
      <c r="H25" s="8">
        <v>68.0</v>
      </c>
      <c r="I25" s="8">
        <v>68.0</v>
      </c>
      <c r="J25" s="14">
        <f t="shared" si="5"/>
        <v>25856</v>
      </c>
      <c r="K25" s="8">
        <v>64.0</v>
      </c>
      <c r="L25" s="15">
        <f t="shared" si="6"/>
        <v>6120</v>
      </c>
      <c r="M25" s="16">
        <f t="shared" si="7"/>
        <v>4</v>
      </c>
      <c r="N25" s="13"/>
      <c r="O25" s="17">
        <f t="shared" si="18"/>
        <v>5.882352941</v>
      </c>
      <c r="P25" s="18">
        <f t="shared" si="19"/>
        <v>100</v>
      </c>
      <c r="Q25" s="19">
        <f t="shared" si="20"/>
        <v>94.11764706</v>
      </c>
      <c r="R25" s="12">
        <f t="shared" si="21"/>
        <v>0</v>
      </c>
      <c r="S25" s="12">
        <f t="shared" si="22"/>
        <v>0</v>
      </c>
      <c r="T25" s="65">
        <v>404.0</v>
      </c>
      <c r="U25" s="3"/>
      <c r="V25" s="3"/>
      <c r="W25" s="3"/>
      <c r="X25" s="157"/>
      <c r="Y25" s="3"/>
      <c r="Z25" s="3"/>
    </row>
    <row r="26">
      <c r="A26" s="5" t="s">
        <v>138</v>
      </c>
      <c r="B26" s="8">
        <v>33500.28</v>
      </c>
      <c r="C26" s="21">
        <f t="shared" si="1"/>
        <v>14245</v>
      </c>
      <c r="D26" s="22">
        <f t="shared" si="2"/>
        <v>19255.28</v>
      </c>
      <c r="E26" s="11">
        <f t="shared" si="3"/>
        <v>57.47796735</v>
      </c>
      <c r="F26" s="12">
        <f t="shared" si="4"/>
        <v>1013.435789</v>
      </c>
      <c r="G26" s="23"/>
      <c r="H26" s="8">
        <v>20.0</v>
      </c>
      <c r="I26" s="8">
        <v>20.0</v>
      </c>
      <c r="J26" s="14">
        <f t="shared" si="5"/>
        <v>12445</v>
      </c>
      <c r="K26" s="8">
        <v>19.0</v>
      </c>
      <c r="L26" s="15">
        <f t="shared" si="6"/>
        <v>1800</v>
      </c>
      <c r="M26" s="16">
        <f t="shared" si="7"/>
        <v>1</v>
      </c>
      <c r="N26" s="13"/>
      <c r="O26" s="17">
        <f t="shared" si="18"/>
        <v>5</v>
      </c>
      <c r="P26" s="18">
        <f t="shared" si="19"/>
        <v>100</v>
      </c>
      <c r="Q26" s="19">
        <f t="shared" si="20"/>
        <v>95</v>
      </c>
      <c r="R26" s="12">
        <f t="shared" si="21"/>
        <v>0</v>
      </c>
      <c r="S26" s="12">
        <f t="shared" si="22"/>
        <v>0</v>
      </c>
      <c r="T26" s="65">
        <v>655.0</v>
      </c>
      <c r="U26" s="3"/>
      <c r="V26" s="3"/>
      <c r="W26" s="3"/>
      <c r="X26" s="70"/>
    </row>
    <row r="27">
      <c r="A27" s="5" t="s">
        <v>35</v>
      </c>
      <c r="B27" s="8">
        <v>42657.4</v>
      </c>
      <c r="C27" s="21">
        <f t="shared" si="1"/>
        <v>14922</v>
      </c>
      <c r="D27" s="22">
        <f t="shared" si="2"/>
        <v>27735.4</v>
      </c>
      <c r="E27" s="11">
        <f t="shared" si="3"/>
        <v>65.01896506</v>
      </c>
      <c r="F27" s="12">
        <f t="shared" si="4"/>
        <v>1320.733333</v>
      </c>
      <c r="G27" s="23"/>
      <c r="H27" s="8">
        <v>26.0</v>
      </c>
      <c r="I27" s="8">
        <v>23.0</v>
      </c>
      <c r="J27" s="14">
        <f t="shared" si="5"/>
        <v>12852</v>
      </c>
      <c r="K27" s="8">
        <v>21.0</v>
      </c>
      <c r="L27" s="15">
        <f t="shared" si="6"/>
        <v>2070</v>
      </c>
      <c r="M27" s="16">
        <f t="shared" si="7"/>
        <v>2</v>
      </c>
      <c r="N27" s="13"/>
      <c r="O27" s="17">
        <f t="shared" si="18"/>
        <v>8.695652174</v>
      </c>
      <c r="P27" s="18">
        <f t="shared" si="19"/>
        <v>88.46153846</v>
      </c>
      <c r="Q27" s="19">
        <f t="shared" si="20"/>
        <v>91.30434783</v>
      </c>
      <c r="R27" s="12">
        <f t="shared" si="21"/>
        <v>0</v>
      </c>
      <c r="S27" s="12">
        <f t="shared" si="22"/>
        <v>11.53846154</v>
      </c>
      <c r="T27" s="65">
        <v>612.0</v>
      </c>
      <c r="U27" s="3"/>
      <c r="V27" s="3"/>
      <c r="W27" s="3"/>
      <c r="X27" s="70"/>
    </row>
    <row r="28">
      <c r="A28" s="5" t="s">
        <v>139</v>
      </c>
      <c r="B28" s="8">
        <v>38376.76</v>
      </c>
      <c r="C28" s="21">
        <f t="shared" si="1"/>
        <v>17493</v>
      </c>
      <c r="D28" s="22">
        <f t="shared" si="2"/>
        <v>20883.76</v>
      </c>
      <c r="E28" s="11">
        <f t="shared" si="3"/>
        <v>54.41772573</v>
      </c>
      <c r="F28" s="12">
        <f t="shared" si="4"/>
        <v>994.4647619</v>
      </c>
      <c r="G28" s="23"/>
      <c r="H28" s="8">
        <v>21.0</v>
      </c>
      <c r="I28" s="8">
        <v>21.0</v>
      </c>
      <c r="J28" s="14">
        <f t="shared" si="5"/>
        <v>15603</v>
      </c>
      <c r="K28" s="8">
        <v>21.0</v>
      </c>
      <c r="L28" s="15">
        <f t="shared" si="6"/>
        <v>1890</v>
      </c>
      <c r="M28" s="16">
        <f t="shared" si="7"/>
        <v>0</v>
      </c>
      <c r="N28" s="13"/>
      <c r="O28" s="17">
        <f t="shared" si="18"/>
        <v>0</v>
      </c>
      <c r="P28" s="18">
        <f t="shared" si="19"/>
        <v>100</v>
      </c>
      <c r="Q28" s="19">
        <f t="shared" si="20"/>
        <v>100</v>
      </c>
      <c r="R28" s="12">
        <f t="shared" si="21"/>
        <v>0</v>
      </c>
      <c r="S28" s="12">
        <f t="shared" si="22"/>
        <v>0</v>
      </c>
      <c r="T28" s="65">
        <v>743.0</v>
      </c>
      <c r="U28" s="3"/>
      <c r="V28" s="3"/>
      <c r="W28" s="3"/>
      <c r="X28" s="70"/>
    </row>
    <row r="29">
      <c r="A29" s="5" t="s">
        <v>140</v>
      </c>
      <c r="B29" s="8">
        <v>35758.4</v>
      </c>
      <c r="C29" s="21">
        <f t="shared" si="1"/>
        <v>17409</v>
      </c>
      <c r="D29" s="22">
        <f t="shared" si="2"/>
        <v>18349.4</v>
      </c>
      <c r="E29" s="11">
        <f t="shared" si="3"/>
        <v>51.31493579</v>
      </c>
      <c r="F29" s="12">
        <f t="shared" si="4"/>
        <v>873.7809524</v>
      </c>
      <c r="G29" s="23"/>
      <c r="H29" s="8">
        <v>21.0</v>
      </c>
      <c r="I29" s="8">
        <v>21.0</v>
      </c>
      <c r="J29" s="14">
        <f t="shared" si="5"/>
        <v>15519</v>
      </c>
      <c r="K29" s="8">
        <v>21.0</v>
      </c>
      <c r="L29" s="15">
        <f t="shared" si="6"/>
        <v>1890</v>
      </c>
      <c r="M29" s="16">
        <f t="shared" si="7"/>
        <v>0</v>
      </c>
      <c r="N29" s="13"/>
      <c r="O29" s="17">
        <f t="shared" si="18"/>
        <v>0</v>
      </c>
      <c r="P29" s="18">
        <f t="shared" si="19"/>
        <v>100</v>
      </c>
      <c r="Q29" s="19">
        <f t="shared" si="20"/>
        <v>100</v>
      </c>
      <c r="R29" s="12">
        <f t="shared" si="21"/>
        <v>0</v>
      </c>
      <c r="S29" s="12">
        <f t="shared" si="22"/>
        <v>0</v>
      </c>
      <c r="T29" s="65">
        <v>739.0</v>
      </c>
      <c r="U29" s="3"/>
      <c r="V29" s="3"/>
      <c r="W29" s="3"/>
      <c r="X29" s="70"/>
    </row>
    <row r="30">
      <c r="A30" s="5" t="s">
        <v>141</v>
      </c>
      <c r="B30" s="8">
        <v>25700.81</v>
      </c>
      <c r="C30" s="21">
        <f t="shared" si="1"/>
        <v>8866</v>
      </c>
      <c r="D30" s="22">
        <f t="shared" si="2"/>
        <v>16834.81</v>
      </c>
      <c r="E30" s="11">
        <f t="shared" si="3"/>
        <v>65.50303278</v>
      </c>
      <c r="F30" s="12">
        <f t="shared" si="4"/>
        <v>1202.486429</v>
      </c>
      <c r="G30" s="23"/>
      <c r="H30" s="8">
        <v>18.0</v>
      </c>
      <c r="I30" s="8">
        <v>17.0</v>
      </c>
      <c r="J30" s="14">
        <f t="shared" si="5"/>
        <v>7336</v>
      </c>
      <c r="K30" s="8">
        <v>14.0</v>
      </c>
      <c r="L30" s="15">
        <f t="shared" si="6"/>
        <v>1530</v>
      </c>
      <c r="M30" s="16">
        <f t="shared" si="7"/>
        <v>2</v>
      </c>
      <c r="N30" s="8">
        <v>1.0</v>
      </c>
      <c r="O30" s="17">
        <f t="shared" si="18"/>
        <v>11.76470588</v>
      </c>
      <c r="P30" s="18">
        <f t="shared" si="19"/>
        <v>94.44444444</v>
      </c>
      <c r="Q30" s="19">
        <f t="shared" si="20"/>
        <v>82.35294118</v>
      </c>
      <c r="R30" s="12">
        <f t="shared" si="21"/>
        <v>0</v>
      </c>
      <c r="S30" s="12">
        <f t="shared" si="22"/>
        <v>5.555555556</v>
      </c>
      <c r="T30" s="65">
        <v>524.0</v>
      </c>
      <c r="U30" s="3"/>
      <c r="V30" s="3"/>
      <c r="W30" s="3"/>
      <c r="X30" s="70"/>
    </row>
    <row r="31">
      <c r="A31" s="5" t="s">
        <v>36</v>
      </c>
      <c r="B31" s="8">
        <v>14372.6</v>
      </c>
      <c r="C31" s="21">
        <f t="shared" si="1"/>
        <v>4746</v>
      </c>
      <c r="D31" s="22">
        <f t="shared" si="2"/>
        <v>9626.6</v>
      </c>
      <c r="E31" s="11">
        <f t="shared" si="3"/>
        <v>66.97883473</v>
      </c>
      <c r="F31" s="12">
        <f t="shared" si="4"/>
        <v>1203.325</v>
      </c>
      <c r="G31" s="23"/>
      <c r="H31" s="8">
        <v>9.0</v>
      </c>
      <c r="I31" s="8">
        <v>9.0</v>
      </c>
      <c r="J31" s="14">
        <f t="shared" si="5"/>
        <v>3936</v>
      </c>
      <c r="K31" s="8">
        <v>8.0</v>
      </c>
      <c r="L31" s="15">
        <f t="shared" si="6"/>
        <v>810</v>
      </c>
      <c r="M31" s="16">
        <f t="shared" si="7"/>
        <v>1</v>
      </c>
      <c r="N31" s="13"/>
      <c r="O31" s="17">
        <f t="shared" si="18"/>
        <v>11.11111111</v>
      </c>
      <c r="P31" s="18">
        <f t="shared" si="19"/>
        <v>100</v>
      </c>
      <c r="Q31" s="19">
        <f t="shared" si="20"/>
        <v>88.88888889</v>
      </c>
      <c r="R31" s="12">
        <f t="shared" si="21"/>
        <v>0</v>
      </c>
      <c r="S31" s="12">
        <f t="shared" si="22"/>
        <v>0</v>
      </c>
      <c r="T31" s="65">
        <v>492.0</v>
      </c>
      <c r="U31" s="3"/>
      <c r="V31" s="3"/>
      <c r="W31" s="3"/>
      <c r="X31" s="70"/>
    </row>
    <row r="32">
      <c r="A32" s="5" t="s">
        <v>142</v>
      </c>
      <c r="B32" s="8">
        <v>9084.1</v>
      </c>
      <c r="C32" s="21">
        <f t="shared" si="1"/>
        <v>3468</v>
      </c>
      <c r="D32" s="22">
        <f t="shared" si="2"/>
        <v>5616.1</v>
      </c>
      <c r="E32" s="11">
        <f t="shared" si="3"/>
        <v>61.82340573</v>
      </c>
      <c r="F32" s="12">
        <f t="shared" si="4"/>
        <v>936.0166667</v>
      </c>
      <c r="G32" s="23"/>
      <c r="H32" s="8">
        <v>7.0</v>
      </c>
      <c r="I32" s="8">
        <v>6.0</v>
      </c>
      <c r="J32" s="14">
        <f t="shared" si="5"/>
        <v>2928</v>
      </c>
      <c r="K32" s="8">
        <v>6.0</v>
      </c>
      <c r="L32" s="15">
        <f t="shared" si="6"/>
        <v>540</v>
      </c>
      <c r="M32" s="16">
        <f t="shared" si="7"/>
        <v>0</v>
      </c>
      <c r="N32" s="13"/>
      <c r="O32" s="17">
        <f t="shared" si="18"/>
        <v>0</v>
      </c>
      <c r="P32" s="18">
        <f t="shared" si="19"/>
        <v>85.71428571</v>
      </c>
      <c r="Q32" s="19">
        <f t="shared" si="20"/>
        <v>100</v>
      </c>
      <c r="R32" s="12">
        <f t="shared" si="21"/>
        <v>0</v>
      </c>
      <c r="S32" s="12">
        <f t="shared" si="22"/>
        <v>14.28571429</v>
      </c>
      <c r="T32" s="65">
        <v>488.0</v>
      </c>
      <c r="U32" s="3"/>
      <c r="V32" s="3"/>
      <c r="W32" s="3"/>
      <c r="X32" s="70"/>
    </row>
    <row r="33">
      <c r="A33" s="24" t="s">
        <v>38</v>
      </c>
      <c r="B33" s="25">
        <v>4707817.0</v>
      </c>
      <c r="C33" s="28"/>
      <c r="D33" s="25">
        <f>SUM(D4:D32)</f>
        <v>2281077.75</v>
      </c>
      <c r="E33" s="26"/>
      <c r="F33" s="26"/>
      <c r="G33" s="158">
        <v>2001000.0</v>
      </c>
      <c r="H33" s="25">
        <f t="shared" ref="H33:N33" si="23">SUM(H4:H32)</f>
        <v>4227</v>
      </c>
      <c r="I33" s="25">
        <f t="shared" si="23"/>
        <v>4059</v>
      </c>
      <c r="J33" s="25">
        <f t="shared" si="23"/>
        <v>2005012</v>
      </c>
      <c r="K33" s="25">
        <f t="shared" si="23"/>
        <v>3850</v>
      </c>
      <c r="L33" s="25">
        <f t="shared" si="23"/>
        <v>365310</v>
      </c>
      <c r="M33" s="25">
        <f t="shared" si="23"/>
        <v>205</v>
      </c>
      <c r="N33" s="25">
        <f t="shared" si="23"/>
        <v>4</v>
      </c>
      <c r="O33" s="159">
        <f t="shared" ref="O33:Q33" si="24">AVERAGE(O4:O32)</f>
        <v>5.278963869</v>
      </c>
      <c r="P33" s="159">
        <f t="shared" si="24"/>
        <v>93.26845817</v>
      </c>
      <c r="Q33" s="159">
        <f t="shared" si="24"/>
        <v>94.40930796</v>
      </c>
      <c r="R33" s="29">
        <f>SUM(R4:R32)</f>
        <v>0</v>
      </c>
      <c r="S33" s="159">
        <f>AVERAGE(S4:S32)</f>
        <v>6.73154183</v>
      </c>
      <c r="T33" s="28"/>
      <c r="U33" s="3"/>
      <c r="V33" s="3"/>
      <c r="W33" s="3"/>
      <c r="X33" s="70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156"/>
      <c r="X34" s="70"/>
    </row>
    <row r="35">
      <c r="A35" s="3"/>
      <c r="B35" s="3"/>
      <c r="C35" s="3"/>
      <c r="D35" s="3"/>
      <c r="E35" s="3"/>
      <c r="F35" s="3"/>
      <c r="G35" s="3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156"/>
      <c r="X35" s="70"/>
    </row>
    <row r="36">
      <c r="A36" s="3"/>
      <c r="B36" s="3"/>
      <c r="C36" s="3"/>
      <c r="D36" s="30" t="s">
        <v>39</v>
      </c>
      <c r="E36" s="3"/>
      <c r="F36" s="3"/>
      <c r="G36" s="3"/>
      <c r="H36" s="157"/>
      <c r="I36" s="157"/>
      <c r="J36" s="160"/>
      <c r="K36" s="161"/>
      <c r="L36" s="157"/>
      <c r="M36" s="3"/>
      <c r="N36" s="3"/>
      <c r="O36" s="3"/>
      <c r="P36" s="3"/>
      <c r="Q36" s="3"/>
      <c r="R36" s="3"/>
      <c r="S36" s="3"/>
      <c r="T36" s="3"/>
      <c r="U36" s="3"/>
      <c r="V36" s="3"/>
      <c r="W36" s="156"/>
      <c r="X36" s="70"/>
    </row>
    <row r="37">
      <c r="A37" s="31" t="s">
        <v>116</v>
      </c>
      <c r="B37" s="106">
        <f>K33</f>
        <v>3850</v>
      </c>
      <c r="C37" s="3"/>
      <c r="D37" s="69"/>
      <c r="E37" s="162"/>
      <c r="F37" s="3"/>
      <c r="G37" s="3"/>
      <c r="H37" s="157"/>
      <c r="I37" s="157"/>
      <c r="J37" s="163"/>
      <c r="K37" s="161"/>
      <c r="L37" s="157"/>
      <c r="M37" s="3"/>
      <c r="N37" s="3"/>
      <c r="O37" s="3"/>
      <c r="P37" s="3"/>
      <c r="Q37" s="3"/>
      <c r="R37" s="3"/>
      <c r="S37" s="3"/>
      <c r="T37" s="3"/>
      <c r="U37" s="3"/>
      <c r="V37" s="3"/>
      <c r="W37" s="156"/>
      <c r="X37" s="70"/>
    </row>
    <row r="38">
      <c r="A38" s="31" t="s">
        <v>40</v>
      </c>
      <c r="B38" s="106">
        <f>B33</f>
        <v>4707817</v>
      </c>
      <c r="C38" s="3"/>
      <c r="D38" s="33" t="s">
        <v>41</v>
      </c>
      <c r="E38" s="34">
        <f>B39/B37</f>
        <v>520.7823377</v>
      </c>
      <c r="F38" s="3"/>
      <c r="G38" s="3"/>
      <c r="H38" s="157"/>
      <c r="I38" s="157"/>
      <c r="J38" s="160"/>
      <c r="K38" s="161"/>
      <c r="L38" s="157"/>
      <c r="M38" s="3"/>
      <c r="N38" s="3"/>
      <c r="O38" s="3"/>
      <c r="P38" s="3"/>
      <c r="Q38" s="3"/>
      <c r="R38" s="3"/>
      <c r="S38" s="3"/>
      <c r="T38" s="3"/>
      <c r="U38" s="3"/>
      <c r="V38" s="3"/>
      <c r="W38" s="156"/>
      <c r="X38" s="70"/>
    </row>
    <row r="39">
      <c r="A39" s="31" t="s">
        <v>41</v>
      </c>
      <c r="B39" s="106">
        <f>J33</f>
        <v>2005012</v>
      </c>
      <c r="C39" s="35"/>
      <c r="D39" s="33" t="s">
        <v>42</v>
      </c>
      <c r="E39" s="34">
        <v>674.0</v>
      </c>
      <c r="F39" s="3"/>
      <c r="G39" s="3"/>
      <c r="H39" s="157"/>
      <c r="I39" s="157"/>
      <c r="J39" s="160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70"/>
    </row>
    <row r="40">
      <c r="A40" s="31" t="s">
        <v>43</v>
      </c>
      <c r="B40" s="106">
        <f>L33</f>
        <v>365310</v>
      </c>
      <c r="C40" s="35"/>
      <c r="D40" s="33" t="s">
        <v>43</v>
      </c>
      <c r="E40" s="34">
        <f>B40/B37</f>
        <v>94.88571429</v>
      </c>
      <c r="F40" s="3"/>
      <c r="G40" s="3"/>
      <c r="H40" s="157"/>
      <c r="I40" s="157"/>
      <c r="J40" s="160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70"/>
    </row>
    <row r="41">
      <c r="A41" s="31" t="s">
        <v>44</v>
      </c>
      <c r="B41" s="106">
        <f>G33</f>
        <v>2001000</v>
      </c>
      <c r="C41" s="35"/>
      <c r="D41" s="33" t="s">
        <v>45</v>
      </c>
      <c r="E41" s="34">
        <f>B38/B37</f>
        <v>1222.80961</v>
      </c>
      <c r="F41" s="3"/>
      <c r="G41" s="3"/>
      <c r="H41" s="157"/>
      <c r="I41" s="157"/>
      <c r="J41" s="157"/>
      <c r="K41" s="157"/>
      <c r="L41" s="157"/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70"/>
    </row>
    <row r="42">
      <c r="A42" s="31" t="s">
        <v>46</v>
      </c>
      <c r="B42" s="106">
        <f>B38-(B39+B40+B41)</f>
        <v>336495</v>
      </c>
      <c r="C42" s="37"/>
      <c r="D42" s="3"/>
      <c r="E42" s="3"/>
      <c r="F42" s="3"/>
      <c r="G42" s="3"/>
      <c r="H42" s="157"/>
      <c r="I42" s="157"/>
      <c r="J42" s="157"/>
      <c r="K42" s="157"/>
      <c r="L42" s="157"/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70"/>
    </row>
    <row r="43">
      <c r="A43" s="31" t="s">
        <v>47</v>
      </c>
      <c r="B43" s="114">
        <f>B42/B38</f>
        <v>0.0714758029</v>
      </c>
      <c r="C43" s="3"/>
      <c r="D43" s="3"/>
      <c r="E43" s="3"/>
      <c r="F43" s="3"/>
      <c r="G43" s="3"/>
      <c r="H43" s="157"/>
      <c r="I43" s="157"/>
      <c r="J43" s="157"/>
      <c r="K43" s="157"/>
      <c r="L43" s="15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6">
      <c r="A46" s="1" t="s">
        <v>127</v>
      </c>
      <c r="B46" s="2" t="s">
        <v>48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8" t="s">
        <v>49</v>
      </c>
      <c r="B48" s="24" t="s">
        <v>3</v>
      </c>
      <c r="C48" s="24" t="s">
        <v>4</v>
      </c>
      <c r="D48" s="24" t="s">
        <v>5</v>
      </c>
      <c r="E48" s="39" t="s">
        <v>6</v>
      </c>
      <c r="F48" s="24" t="s">
        <v>7</v>
      </c>
      <c r="G48" s="24" t="s">
        <v>9</v>
      </c>
      <c r="H48" s="24" t="s">
        <v>11</v>
      </c>
      <c r="I48" s="24" t="s">
        <v>12</v>
      </c>
      <c r="J48" s="24" t="s">
        <v>50</v>
      </c>
      <c r="K48" s="24" t="s">
        <v>51</v>
      </c>
      <c r="L48" s="39" t="s">
        <v>16</v>
      </c>
      <c r="M48" s="24" t="s">
        <v>52</v>
      </c>
      <c r="N48" s="40" t="s">
        <v>53</v>
      </c>
      <c r="O48" s="3"/>
    </row>
    <row r="49">
      <c r="A49" s="42" t="s">
        <v>21</v>
      </c>
      <c r="B49" s="43">
        <f>542543+7446+2549</f>
        <v>552538</v>
      </c>
      <c r="C49" s="44">
        <f t="shared" ref="C49:C65" si="25">K49+H49</f>
        <v>341223.62</v>
      </c>
      <c r="D49" s="45">
        <f t="shared" ref="D49:D66" si="26">B49-C49</f>
        <v>211314.38</v>
      </c>
      <c r="E49" s="11">
        <f t="shared" ref="E49:E65" si="27">D49/B49*100</f>
        <v>38.24431623</v>
      </c>
      <c r="F49" s="46">
        <f t="shared" ref="F49:F65" si="28">D49/I49</f>
        <v>356.348027</v>
      </c>
      <c r="G49" s="47">
        <f>631+6</f>
        <v>637</v>
      </c>
      <c r="H49" s="14">
        <f>220*I49</f>
        <v>130460</v>
      </c>
      <c r="I49" s="48">
        <f>580+3+10</f>
        <v>593</v>
      </c>
      <c r="J49" s="14">
        <f t="shared" ref="J49:J65" si="29">G49-I49</f>
        <v>44</v>
      </c>
      <c r="K49" s="49">
        <f>208415.6 +770.57+357.14+1220.31</f>
        <v>210763.62</v>
      </c>
      <c r="L49" s="50">
        <f t="shared" ref="L49:L65" si="30">J49/G49*100</f>
        <v>6.907378336</v>
      </c>
      <c r="M49" s="51">
        <v>0.0</v>
      </c>
      <c r="N49" s="52">
        <f>J49*999</f>
        <v>43956</v>
      </c>
      <c r="O49" s="53" t="str">
        <f t="shared" ref="O49:O64" si="31">B49/M49</f>
        <v>#DIV/0!</v>
      </c>
      <c r="P49" s="54">
        <f>B49/B66*100</f>
        <v>28.76802949</v>
      </c>
    </row>
    <row r="50">
      <c r="A50" s="42" t="s">
        <v>23</v>
      </c>
      <c r="B50" s="43">
        <f>311048</f>
        <v>311048</v>
      </c>
      <c r="C50" s="44">
        <f t="shared" si="25"/>
        <v>147522.48</v>
      </c>
      <c r="D50" s="45">
        <f t="shared" si="26"/>
        <v>163525.52</v>
      </c>
      <c r="E50" s="11">
        <f t="shared" si="27"/>
        <v>52.57243898</v>
      </c>
      <c r="F50" s="46">
        <f t="shared" si="28"/>
        <v>612.4551311</v>
      </c>
      <c r="G50" s="47">
        <f>287</f>
        <v>287</v>
      </c>
      <c r="H50" s="14">
        <f>304*I50</f>
        <v>81168</v>
      </c>
      <c r="I50" s="48">
        <f>267</f>
        <v>267</v>
      </c>
      <c r="J50" s="14">
        <f t="shared" si="29"/>
        <v>20</v>
      </c>
      <c r="K50" s="49">
        <f>844.75+65509.73 
</f>
        <v>66354.48</v>
      </c>
      <c r="L50" s="50">
        <f t="shared" si="30"/>
        <v>6.968641115</v>
      </c>
      <c r="M50" s="51">
        <v>0.0</v>
      </c>
      <c r="N50" s="52">
        <f>J50*1119</f>
        <v>22380</v>
      </c>
      <c r="O50" s="53" t="str">
        <f t="shared" si="31"/>
        <v>#DIV/0!</v>
      </c>
      <c r="P50" s="54">
        <f>B50/B66*100</f>
        <v>16.1947921</v>
      </c>
    </row>
    <row r="51">
      <c r="A51" s="42" t="s">
        <v>25</v>
      </c>
      <c r="B51" s="43">
        <f>3388.9+15964.23+15992+1999</f>
        <v>37344.13</v>
      </c>
      <c r="C51" s="44">
        <f t="shared" si="25"/>
        <v>23638.64</v>
      </c>
      <c r="D51" s="45">
        <f t="shared" si="26"/>
        <v>13705.49</v>
      </c>
      <c r="E51" s="11">
        <f t="shared" si="27"/>
        <v>36.70052027</v>
      </c>
      <c r="F51" s="46">
        <f t="shared" si="28"/>
        <v>622.9768182</v>
      </c>
      <c r="G51" s="47">
        <f>1+8+10+5</f>
        <v>24</v>
      </c>
      <c r="H51" s="14">
        <f> 662*I51</f>
        <v>14564</v>
      </c>
      <c r="I51" s="48">
        <v>22.0</v>
      </c>
      <c r="J51" s="14">
        <f t="shared" si="29"/>
        <v>2</v>
      </c>
      <c r="K51" s="49">
        <f>1287.79 +2811.23+4645.73+329.89
</f>
        <v>9074.64</v>
      </c>
      <c r="L51" s="50">
        <f t="shared" si="30"/>
        <v>8.333333333</v>
      </c>
      <c r="M51" s="51">
        <v>0.0</v>
      </c>
      <c r="N51" s="52">
        <f>J51*1799</f>
        <v>3598</v>
      </c>
      <c r="O51" s="53" t="str">
        <f t="shared" si="31"/>
        <v>#DIV/0!</v>
      </c>
      <c r="P51" s="54">
        <f>B51/B66*100</f>
        <v>1.94433149</v>
      </c>
    </row>
    <row r="52">
      <c r="A52" s="42" t="s">
        <v>26</v>
      </c>
      <c r="B52" s="43">
        <f>293626+1349+3593.32</f>
        <v>298568.32</v>
      </c>
      <c r="C52" s="44">
        <f t="shared" si="25"/>
        <v>276163.93</v>
      </c>
      <c r="D52" s="45">
        <f t="shared" si="26"/>
        <v>22404.39</v>
      </c>
      <c r="E52" s="11">
        <f t="shared" si="27"/>
        <v>7.503940807</v>
      </c>
      <c r="F52" s="46">
        <f t="shared" si="28"/>
        <v>33.29032689</v>
      </c>
      <c r="G52" s="47">
        <f>708+1+4</f>
        <v>713</v>
      </c>
      <c r="H52" s="14">
        <f>184*I52</f>
        <v>123832</v>
      </c>
      <c r="I52" s="48">
        <f>662+3+8</f>
        <v>673</v>
      </c>
      <c r="J52" s="14">
        <f t="shared" si="29"/>
        <v>40</v>
      </c>
      <c r="K52" s="49">
        <f>774.92+150771.6+255.14 
+530.27</f>
        <v>152331.93</v>
      </c>
      <c r="L52" s="50">
        <f t="shared" si="30"/>
        <v>5.610098177</v>
      </c>
      <c r="M52" s="51">
        <v>0.0</v>
      </c>
      <c r="N52" s="52">
        <f>J52*499</f>
        <v>19960</v>
      </c>
      <c r="O52" s="53" t="str">
        <f t="shared" si="31"/>
        <v>#DIV/0!</v>
      </c>
      <c r="P52" s="54">
        <f>B52/B66*100</f>
        <v>15.54503443</v>
      </c>
    </row>
    <row r="53">
      <c r="A53" s="42" t="s">
        <v>28</v>
      </c>
      <c r="B53" s="43">
        <v>0.0</v>
      </c>
      <c r="C53" s="44">
        <f t="shared" si="25"/>
        <v>0</v>
      </c>
      <c r="D53" s="45">
        <f t="shared" si="26"/>
        <v>0</v>
      </c>
      <c r="E53" s="11" t="str">
        <f t="shared" si="27"/>
        <v>#DIV/0!</v>
      </c>
      <c r="F53" s="46" t="str">
        <f t="shared" si="28"/>
        <v>#DIV/0!</v>
      </c>
      <c r="G53" s="47">
        <v>0.0</v>
      </c>
      <c r="H53" s="14">
        <f>250*I53</f>
        <v>0</v>
      </c>
      <c r="I53" s="48">
        <v>0.0</v>
      </c>
      <c r="J53" s="14">
        <f t="shared" si="29"/>
        <v>0</v>
      </c>
      <c r="K53" s="49">
        <v>0.0</v>
      </c>
      <c r="L53" s="50" t="str">
        <f t="shared" si="30"/>
        <v>#DIV/0!</v>
      </c>
      <c r="M53" s="51">
        <v>0.0</v>
      </c>
      <c r="N53" s="52">
        <f>J53*1049</f>
        <v>0</v>
      </c>
      <c r="O53" s="53" t="str">
        <f t="shared" si="31"/>
        <v>#DIV/0!</v>
      </c>
      <c r="P53" s="54">
        <f>B53/B66*100</f>
        <v>0</v>
      </c>
    </row>
    <row r="54">
      <c r="A54" s="42" t="s">
        <v>29</v>
      </c>
      <c r="B54" s="43">
        <f>174667</f>
        <v>174667</v>
      </c>
      <c r="C54" s="44">
        <f t="shared" si="25"/>
        <v>135829.25</v>
      </c>
      <c r="D54" s="45">
        <f t="shared" si="26"/>
        <v>38837.75</v>
      </c>
      <c r="E54" s="11">
        <f t="shared" si="27"/>
        <v>22.23531062</v>
      </c>
      <c r="F54" s="46">
        <f t="shared" si="28"/>
        <v>248.9599359</v>
      </c>
      <c r="G54" s="47">
        <v>176.0</v>
      </c>
      <c r="H54" s="14">
        <f>308*I54</f>
        <v>48048</v>
      </c>
      <c r="I54" s="48">
        <v>156.0</v>
      </c>
      <c r="J54" s="14">
        <f t="shared" si="29"/>
        <v>20</v>
      </c>
      <c r="K54" s="49">
        <f>87781.25 
</f>
        <v>87781.25</v>
      </c>
      <c r="L54" s="50">
        <f t="shared" si="30"/>
        <v>11.36363636</v>
      </c>
      <c r="M54" s="55">
        <v>0.0</v>
      </c>
      <c r="N54" s="52">
        <f>J54*1249</f>
        <v>24980</v>
      </c>
      <c r="O54" s="53" t="str">
        <f t="shared" si="31"/>
        <v>#DIV/0!</v>
      </c>
      <c r="P54" s="54">
        <f>B54/B66*100</f>
        <v>9.094081143</v>
      </c>
    </row>
    <row r="55">
      <c r="A55" s="42" t="s">
        <v>31</v>
      </c>
      <c r="B55" s="43">
        <f>50157.89</f>
        <v>50157.89</v>
      </c>
      <c r="C55" s="44">
        <f t="shared" si="25"/>
        <v>44177.47</v>
      </c>
      <c r="D55" s="45">
        <f t="shared" si="26"/>
        <v>5980.42</v>
      </c>
      <c r="E55" s="11">
        <f t="shared" si="27"/>
        <v>11.92318895</v>
      </c>
      <c r="F55" s="46">
        <f t="shared" si="28"/>
        <v>149.5105</v>
      </c>
      <c r="G55" s="47">
        <v>42.0</v>
      </c>
      <c r="H55" s="14">
        <f>435*I55</f>
        <v>17400</v>
      </c>
      <c r="I55" s="48">
        <v>40.0</v>
      </c>
      <c r="J55" s="14">
        <f t="shared" si="29"/>
        <v>2</v>
      </c>
      <c r="K55" s="49">
        <f>26777.47</f>
        <v>26777.47</v>
      </c>
      <c r="L55" s="50">
        <f t="shared" si="30"/>
        <v>4.761904762</v>
      </c>
      <c r="M55" s="51">
        <v>0.0</v>
      </c>
      <c r="N55" s="52">
        <f>J55*1349</f>
        <v>2698</v>
      </c>
      <c r="O55" s="53" t="str">
        <f t="shared" si="31"/>
        <v>#DIV/0!</v>
      </c>
      <c r="P55" s="54">
        <f>B55/B66*100</f>
        <v>2.611483117</v>
      </c>
    </row>
    <row r="56">
      <c r="A56" s="42" t="s">
        <v>32</v>
      </c>
      <c r="B56" s="43">
        <v>0.0</v>
      </c>
      <c r="C56" s="44">
        <f t="shared" si="25"/>
        <v>0</v>
      </c>
      <c r="D56" s="45">
        <f t="shared" si="26"/>
        <v>0</v>
      </c>
      <c r="E56" s="11" t="str">
        <f t="shared" si="27"/>
        <v>#DIV/0!</v>
      </c>
      <c r="F56" s="46" t="str">
        <f t="shared" si="28"/>
        <v>#DIV/0!</v>
      </c>
      <c r="G56" s="47">
        <v>0.0</v>
      </c>
      <c r="H56" s="14">
        <f>800*I56</f>
        <v>0</v>
      </c>
      <c r="I56" s="48">
        <v>0.0</v>
      </c>
      <c r="J56" s="14">
        <f t="shared" si="29"/>
        <v>0</v>
      </c>
      <c r="K56" s="49">
        <v>0.0</v>
      </c>
      <c r="L56" s="50" t="str">
        <f t="shared" si="30"/>
        <v>#DIV/0!</v>
      </c>
      <c r="M56" s="51">
        <v>0.0</v>
      </c>
      <c r="N56" s="52">
        <f>J56*1899</f>
        <v>0</v>
      </c>
      <c r="O56" s="53" t="str">
        <f t="shared" si="31"/>
        <v>#DIV/0!</v>
      </c>
      <c r="P56" s="54">
        <f>B56/B66*100</f>
        <v>0</v>
      </c>
    </row>
    <row r="57">
      <c r="A57" s="42" t="s">
        <v>33</v>
      </c>
      <c r="B57" s="43">
        <f>415403+2299</f>
        <v>417702</v>
      </c>
      <c r="C57" s="44">
        <f t="shared" si="25"/>
        <v>269250.24</v>
      </c>
      <c r="D57" s="45">
        <f t="shared" si="26"/>
        <v>148451.76</v>
      </c>
      <c r="E57" s="11">
        <f t="shared" si="27"/>
        <v>35.54011233</v>
      </c>
      <c r="F57" s="46">
        <f t="shared" si="28"/>
        <v>645.4424348</v>
      </c>
      <c r="G57" s="47">
        <v>283.0</v>
      </c>
      <c r="H57" s="14">
        <f>778*I57</f>
        <v>178940</v>
      </c>
      <c r="I57" s="48">
        <v>230.0</v>
      </c>
      <c r="J57" s="14">
        <f t="shared" si="29"/>
        <v>53</v>
      </c>
      <c r="K57" s="49">
        <f>87893.64+2416.6</f>
        <v>90310.24</v>
      </c>
      <c r="L57" s="50">
        <f t="shared" si="30"/>
        <v>18.72791519</v>
      </c>
      <c r="M57" s="51">
        <v>0.0</v>
      </c>
      <c r="N57" s="52">
        <f>J57*1999</f>
        <v>105947</v>
      </c>
      <c r="O57" s="53" t="str">
        <f t="shared" si="31"/>
        <v>#DIV/0!</v>
      </c>
      <c r="P57" s="54">
        <f>B57/B66*100</f>
        <v>21.74775934</v>
      </c>
    </row>
    <row r="58">
      <c r="A58" s="42" t="s">
        <v>54</v>
      </c>
      <c r="B58" s="43">
        <f>42028</f>
        <v>42028</v>
      </c>
      <c r="C58" s="44">
        <f t="shared" si="25"/>
        <v>64316.57</v>
      </c>
      <c r="D58" s="45">
        <f t="shared" si="26"/>
        <v>-22288.57</v>
      </c>
      <c r="E58" s="11">
        <f t="shared" si="27"/>
        <v>-53.0326687</v>
      </c>
      <c r="F58" s="46">
        <f t="shared" si="28"/>
        <v>-305.3228767</v>
      </c>
      <c r="G58" s="47">
        <v>80.0</v>
      </c>
      <c r="H58" s="14">
        <f>200*I58</f>
        <v>14600</v>
      </c>
      <c r="I58" s="48">
        <v>73.0</v>
      </c>
      <c r="J58" s="14">
        <f t="shared" si="29"/>
        <v>7</v>
      </c>
      <c r="K58" s="49">
        <f>49716.57</f>
        <v>49716.57</v>
      </c>
      <c r="L58" s="50">
        <f t="shared" si="30"/>
        <v>8.75</v>
      </c>
      <c r="M58" s="51">
        <v>0.0</v>
      </c>
      <c r="N58" s="52">
        <f>J58*599</f>
        <v>4193</v>
      </c>
      <c r="O58" s="53" t="str">
        <f t="shared" si="31"/>
        <v>#DIV/0!</v>
      </c>
      <c r="P58" s="54">
        <f>B58/B66*100</f>
        <v>2.188198356</v>
      </c>
    </row>
    <row r="59">
      <c r="A59" s="42" t="s">
        <v>55</v>
      </c>
      <c r="B59" s="43">
        <f>4097</f>
        <v>4097</v>
      </c>
      <c r="C59" s="44">
        <f t="shared" si="25"/>
        <v>2205.17</v>
      </c>
      <c r="D59" s="45">
        <f t="shared" si="26"/>
        <v>1891.83</v>
      </c>
      <c r="E59" s="11">
        <f t="shared" si="27"/>
        <v>46.17598243</v>
      </c>
      <c r="F59" s="46">
        <f t="shared" si="28"/>
        <v>630.61</v>
      </c>
      <c r="G59" s="47">
        <v>3.0</v>
      </c>
      <c r="H59" s="14">
        <f>(270+220)*I59</f>
        <v>1470</v>
      </c>
      <c r="I59" s="48">
        <v>3.0</v>
      </c>
      <c r="J59" s="14">
        <f t="shared" si="29"/>
        <v>0</v>
      </c>
      <c r="K59" s="49">
        <f>735.17</f>
        <v>735.17</v>
      </c>
      <c r="L59" s="50">
        <f t="shared" si="30"/>
        <v>0</v>
      </c>
      <c r="M59" s="51">
        <v>0.0</v>
      </c>
      <c r="N59" s="56"/>
      <c r="O59" s="53" t="str">
        <f t="shared" si="31"/>
        <v>#DIV/0!</v>
      </c>
      <c r="P59" s="54">
        <f>B59/B66*100</f>
        <v>0.2133113321</v>
      </c>
    </row>
    <row r="60">
      <c r="A60" s="42" t="s">
        <v>56</v>
      </c>
      <c r="B60" s="43">
        <f>4374.34</f>
        <v>4374.34</v>
      </c>
      <c r="C60" s="44">
        <f t="shared" si="25"/>
        <v>1920.38</v>
      </c>
      <c r="D60" s="45">
        <f t="shared" si="26"/>
        <v>2453.96</v>
      </c>
      <c r="E60" s="11">
        <f t="shared" si="27"/>
        <v>56.09897722</v>
      </c>
      <c r="F60" s="46">
        <f t="shared" si="28"/>
        <v>1226.98</v>
      </c>
      <c r="G60" s="47">
        <v>2.0</v>
      </c>
      <c r="H60" s="14">
        <f>(270+350)*I60</f>
        <v>1240</v>
      </c>
      <c r="I60" s="48">
        <v>2.0</v>
      </c>
      <c r="J60" s="14">
        <f t="shared" si="29"/>
        <v>0</v>
      </c>
      <c r="K60" s="49">
        <f>680.38 
</f>
        <v>680.38</v>
      </c>
      <c r="L60" s="50">
        <f t="shared" si="30"/>
        <v>0</v>
      </c>
      <c r="M60" s="51">
        <v>0.0</v>
      </c>
      <c r="N60" s="52">
        <f>J60*2199</f>
        <v>0</v>
      </c>
      <c r="O60" s="53" t="str">
        <f t="shared" si="31"/>
        <v>#DIV/0!</v>
      </c>
      <c r="P60" s="54">
        <f>B60/B66*100</f>
        <v>0.2277511087</v>
      </c>
    </row>
    <row r="61">
      <c r="A61" s="42" t="s">
        <v>57</v>
      </c>
      <c r="B61" s="43">
        <f>2187.15</f>
        <v>2187.15</v>
      </c>
      <c r="C61" s="44">
        <f t="shared" si="25"/>
        <v>930.16</v>
      </c>
      <c r="D61" s="45">
        <f t="shared" si="26"/>
        <v>1256.99</v>
      </c>
      <c r="E61" s="11">
        <f t="shared" si="27"/>
        <v>57.47159546</v>
      </c>
      <c r="F61" s="46">
        <f t="shared" si="28"/>
        <v>1256.99</v>
      </c>
      <c r="G61" s="47">
        <v>1.0</v>
      </c>
      <c r="H61" s="14">
        <f>(270+320)*I61</f>
        <v>590</v>
      </c>
      <c r="I61" s="48">
        <v>1.0</v>
      </c>
      <c r="J61" s="14">
        <f t="shared" si="29"/>
        <v>0</v>
      </c>
      <c r="K61" s="49">
        <f>340.16</f>
        <v>340.16</v>
      </c>
      <c r="L61" s="50">
        <f t="shared" si="30"/>
        <v>0</v>
      </c>
      <c r="M61" s="51">
        <v>0.0</v>
      </c>
      <c r="N61" s="52">
        <f>J61*999</f>
        <v>0</v>
      </c>
      <c r="O61" s="53" t="str">
        <f t="shared" si="31"/>
        <v>#DIV/0!</v>
      </c>
      <c r="P61" s="54">
        <f>B61/B66*100</f>
        <v>0.1138745131</v>
      </c>
    </row>
    <row r="62">
      <c r="A62" s="42" t="s">
        <v>58</v>
      </c>
      <c r="B62" s="43">
        <f>21587</f>
        <v>21587</v>
      </c>
      <c r="C62" s="44">
        <f t="shared" si="25"/>
        <v>21307.6</v>
      </c>
      <c r="D62" s="45">
        <f t="shared" si="26"/>
        <v>279.4</v>
      </c>
      <c r="E62" s="11">
        <f t="shared" si="27"/>
        <v>1.294297494</v>
      </c>
      <c r="F62" s="46">
        <f t="shared" si="28"/>
        <v>21.49230769</v>
      </c>
      <c r="G62" s="47">
        <v>15.0</v>
      </c>
      <c r="H62" s="14">
        <f>(350+220)*I62</f>
        <v>7410</v>
      </c>
      <c r="I62" s="48">
        <v>13.0</v>
      </c>
      <c r="J62" s="14">
        <f t="shared" si="29"/>
        <v>2</v>
      </c>
      <c r="K62" s="49">
        <f>13897.6</f>
        <v>13897.6</v>
      </c>
      <c r="L62" s="50">
        <f t="shared" si="30"/>
        <v>13.33333333</v>
      </c>
      <c r="M62" s="51">
        <v>0.0</v>
      </c>
      <c r="N62" s="52">
        <f>J62*1499</f>
        <v>2998</v>
      </c>
      <c r="O62" s="53" t="str">
        <f t="shared" si="31"/>
        <v>#DIV/0!</v>
      </c>
      <c r="P62" s="54">
        <f>B62/B66*100</f>
        <v>1.123932567</v>
      </c>
    </row>
    <row r="63">
      <c r="A63" s="42" t="s">
        <v>59</v>
      </c>
      <c r="B63" s="43">
        <f>4368</f>
        <v>4368</v>
      </c>
      <c r="C63" s="44">
        <f t="shared" si="25"/>
        <v>12797.78</v>
      </c>
      <c r="D63" s="45">
        <f t="shared" si="26"/>
        <v>-8429.78</v>
      </c>
      <c r="E63" s="11">
        <f t="shared" si="27"/>
        <v>-192.9894689</v>
      </c>
      <c r="F63" s="46">
        <f t="shared" si="28"/>
        <v>-4214.89</v>
      </c>
      <c r="G63" s="47">
        <v>2.0</v>
      </c>
      <c r="H63" s="14">
        <f>(350+320)*I63</f>
        <v>1340</v>
      </c>
      <c r="I63" s="48">
        <v>2.0</v>
      </c>
      <c r="J63" s="14">
        <f t="shared" si="29"/>
        <v>0</v>
      </c>
      <c r="K63" s="49">
        <f>11457.78 </f>
        <v>11457.78</v>
      </c>
      <c r="L63" s="50">
        <f t="shared" si="30"/>
        <v>0</v>
      </c>
      <c r="M63" s="51">
        <v>0.0</v>
      </c>
      <c r="N63" s="52">
        <f t="shared" ref="N63:N64" si="32">J63*999</f>
        <v>0</v>
      </c>
      <c r="O63" s="53" t="str">
        <f t="shared" si="31"/>
        <v>#DIV/0!</v>
      </c>
      <c r="P63" s="54">
        <f>B63/B66*100</f>
        <v>0.227421015</v>
      </c>
    </row>
    <row r="64">
      <c r="A64" s="42" t="s">
        <v>119</v>
      </c>
      <c r="B64" s="43">
        <f>19980+103297</f>
        <v>123277</v>
      </c>
      <c r="C64" s="44">
        <f t="shared" si="25"/>
        <v>71654.69</v>
      </c>
      <c r="D64" s="45">
        <f t="shared" si="26"/>
        <v>51622.31</v>
      </c>
      <c r="E64" s="11">
        <f t="shared" si="27"/>
        <v>41.87505374</v>
      </c>
      <c r="F64" s="46">
        <f t="shared" si="28"/>
        <v>419.6935772</v>
      </c>
      <c r="G64" s="47">
        <v>128.0</v>
      </c>
      <c r="H64" s="14">
        <f>(330)*I64</f>
        <v>40590</v>
      </c>
      <c r="I64" s="48">
        <v>123.0</v>
      </c>
      <c r="J64" s="14">
        <f t="shared" si="29"/>
        <v>5</v>
      </c>
      <c r="K64" s="49">
        <f>26583.01+4481.68</f>
        <v>31064.69</v>
      </c>
      <c r="L64" s="50">
        <f t="shared" si="30"/>
        <v>3.90625</v>
      </c>
      <c r="M64" s="51">
        <v>0.0</v>
      </c>
      <c r="N64" s="52">
        <f t="shared" si="32"/>
        <v>4995</v>
      </c>
      <c r="O64" s="53" t="str">
        <f t="shared" si="31"/>
        <v>#DIV/0!</v>
      </c>
      <c r="P64" s="54">
        <f>B64/B66*100</f>
        <v>6.41844791</v>
      </c>
    </row>
    <row r="65">
      <c r="A65" s="42" t="s">
        <v>131</v>
      </c>
      <c r="B65" s="43">
        <f>25940.95</f>
        <v>25940.95</v>
      </c>
      <c r="C65" s="44">
        <f t="shared" si="25"/>
        <v>17816.02</v>
      </c>
      <c r="D65" s="45">
        <f t="shared" si="26"/>
        <v>8124.93</v>
      </c>
      <c r="E65" s="11">
        <f t="shared" si="27"/>
        <v>31.32086527</v>
      </c>
      <c r="F65" s="46">
        <f t="shared" si="28"/>
        <v>624.9946154</v>
      </c>
      <c r="G65" s="47">
        <v>14.0</v>
      </c>
      <c r="H65" s="14">
        <f>(1009)*I65</f>
        <v>13117</v>
      </c>
      <c r="I65" s="48">
        <v>13.0</v>
      </c>
      <c r="J65" s="14">
        <f t="shared" si="29"/>
        <v>1</v>
      </c>
      <c r="K65" s="49">
        <f>4699.02 </f>
        <v>4699.02</v>
      </c>
      <c r="L65" s="50">
        <f t="shared" si="30"/>
        <v>7.142857143</v>
      </c>
      <c r="M65" s="164"/>
      <c r="N65" s="52"/>
      <c r="O65" s="53"/>
      <c r="P65" s="54"/>
    </row>
    <row r="66">
      <c r="A66" s="3" t="s">
        <v>38</v>
      </c>
      <c r="B66" s="41">
        <f t="shared" ref="B66:C66" si="33">SUM(B49:B63)</f>
        <v>1920666.83</v>
      </c>
      <c r="C66" s="41">
        <f t="shared" si="33"/>
        <v>1341283.29</v>
      </c>
      <c r="D66" s="41">
        <f t="shared" si="26"/>
        <v>579383.54</v>
      </c>
      <c r="E66" s="3"/>
      <c r="F66" s="3"/>
      <c r="G66" s="41">
        <f>SUM(G47:G63)</f>
        <v>2265</v>
      </c>
      <c r="H66" s="41">
        <f>SUM(H49:H63)</f>
        <v>621062</v>
      </c>
      <c r="I66" s="41">
        <f>SUM(I47:I63)</f>
        <v>2075</v>
      </c>
      <c r="J66" s="3"/>
      <c r="K66" s="41">
        <f>SUM(K49:K65)</f>
        <v>755985</v>
      </c>
      <c r="L66" s="3"/>
      <c r="M66" s="41">
        <f>SUM(M47:M63)</f>
        <v>0</v>
      </c>
      <c r="N66" s="3"/>
      <c r="O66" s="3"/>
    </row>
    <row r="69">
      <c r="A69" s="115" t="s">
        <v>40</v>
      </c>
      <c r="B69" s="116">
        <f>B66</f>
        <v>1920666.83</v>
      </c>
      <c r="C69" s="3"/>
      <c r="D69" s="3"/>
      <c r="E69" s="3"/>
      <c r="F69" s="3"/>
    </row>
    <row r="70">
      <c r="A70" s="117" t="s">
        <v>41</v>
      </c>
      <c r="B70" s="118">
        <f>H66</f>
        <v>621062</v>
      </c>
      <c r="C70" s="3"/>
      <c r="D70" s="30" t="s">
        <v>39</v>
      </c>
      <c r="E70" s="3"/>
      <c r="F70" s="3"/>
    </row>
    <row r="71">
      <c r="A71" s="119" t="s">
        <v>143</v>
      </c>
      <c r="B71" s="120">
        <v>103750.0</v>
      </c>
      <c r="C71" s="165"/>
      <c r="D71" s="33" t="s">
        <v>41</v>
      </c>
      <c r="E71" s="34">
        <f>B70/I66</f>
        <v>299.306988</v>
      </c>
      <c r="F71" s="59"/>
      <c r="H71" s="58"/>
    </row>
    <row r="72">
      <c r="A72" s="119" t="s">
        <v>61</v>
      </c>
      <c r="B72" s="120">
        <v>239937.0</v>
      </c>
      <c r="C72" s="3"/>
      <c r="D72" s="33"/>
      <c r="E72" s="34"/>
      <c r="F72" s="59"/>
    </row>
    <row r="73">
      <c r="A73" s="121" t="s">
        <v>44</v>
      </c>
      <c r="B73" s="122">
        <f>113398+300000</f>
        <v>413398</v>
      </c>
      <c r="C73" s="3"/>
      <c r="D73" s="33" t="s">
        <v>42</v>
      </c>
      <c r="E73" s="34">
        <f>B73/I66</f>
        <v>199.2279518</v>
      </c>
      <c r="F73" s="59"/>
    </row>
    <row r="74">
      <c r="A74" s="123" t="s">
        <v>62</v>
      </c>
      <c r="B74" s="124">
        <f>B69-SUM(B70:B73)</f>
        <v>542519.83</v>
      </c>
      <c r="C74" s="3"/>
      <c r="D74" s="33" t="s">
        <v>63</v>
      </c>
      <c r="E74" s="34">
        <f>B71/I66</f>
        <v>50</v>
      </c>
      <c r="F74" s="61"/>
    </row>
    <row r="75">
      <c r="A75" s="125" t="s">
        <v>47</v>
      </c>
      <c r="B75" s="126">
        <f>B74/B69*100</f>
        <v>28.24643095</v>
      </c>
      <c r="C75" s="3"/>
      <c r="D75" s="33" t="s">
        <v>45</v>
      </c>
      <c r="E75" s="34">
        <f>B69/I66</f>
        <v>925.6225687</v>
      </c>
      <c r="F75" s="3"/>
    </row>
    <row r="78">
      <c r="B78" s="70"/>
      <c r="C78" s="70"/>
      <c r="D78" s="166"/>
    </row>
    <row r="79">
      <c r="B79" s="167"/>
      <c r="C79" s="70"/>
      <c r="D79" s="70"/>
    </row>
    <row r="80">
      <c r="B80" s="70"/>
      <c r="C80" s="70"/>
      <c r="D80" s="70"/>
    </row>
    <row r="82">
      <c r="A82" s="1" t="s">
        <v>127</v>
      </c>
      <c r="B82" s="2" t="s">
        <v>64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8" t="s">
        <v>49</v>
      </c>
      <c r="B84" s="24" t="s">
        <v>3</v>
      </c>
      <c r="C84" s="24" t="s">
        <v>4</v>
      </c>
      <c r="D84" s="24" t="s">
        <v>5</v>
      </c>
      <c r="E84" s="39" t="s">
        <v>6</v>
      </c>
      <c r="F84" s="24" t="s">
        <v>7</v>
      </c>
      <c r="G84" s="24" t="s">
        <v>9</v>
      </c>
      <c r="H84" s="24" t="s">
        <v>11</v>
      </c>
      <c r="I84" s="24" t="s">
        <v>12</v>
      </c>
      <c r="J84" s="24" t="s">
        <v>50</v>
      </c>
      <c r="K84" s="24" t="s">
        <v>65</v>
      </c>
      <c r="L84" s="39" t="s">
        <v>16</v>
      </c>
      <c r="M84" s="24" t="s">
        <v>52</v>
      </c>
    </row>
    <row r="85">
      <c r="A85" s="42" t="s">
        <v>21</v>
      </c>
      <c r="B85" s="43">
        <f>11228</f>
        <v>11228</v>
      </c>
      <c r="C85" s="44">
        <f t="shared" ref="C85:C97" si="34">K85+H85</f>
        <v>7476.24</v>
      </c>
      <c r="D85" s="45">
        <f t="shared" ref="D85:D97" si="35">B85-C85</f>
        <v>3751.76</v>
      </c>
      <c r="E85" s="11">
        <f t="shared" ref="E85:E97" si="36">D85/B85*100</f>
        <v>33.41432134</v>
      </c>
      <c r="F85" s="46">
        <f t="shared" ref="F85:F97" si="37">D85/I85</f>
        <v>312.6466667</v>
      </c>
      <c r="G85" s="47">
        <v>22.0</v>
      </c>
      <c r="H85" s="14">
        <f>270*I85</f>
        <v>3240</v>
      </c>
      <c r="I85" s="48">
        <v>12.0</v>
      </c>
      <c r="J85" s="14">
        <f t="shared" ref="J85:J97" si="38">G85-I85</f>
        <v>10</v>
      </c>
      <c r="K85" s="49">
        <f>4236.24</f>
        <v>4236.24</v>
      </c>
      <c r="L85" s="50">
        <f t="shared" ref="L85:L97" si="39">J85/G85*100</f>
        <v>45.45454545</v>
      </c>
      <c r="M85" s="51">
        <f t="shared" ref="M85:M92" si="40">20%*B85</f>
        <v>2245.6</v>
      </c>
      <c r="P85" s="54">
        <f>B85/B101*100</f>
        <v>8.979957452</v>
      </c>
    </row>
    <row r="86">
      <c r="A86" s="42" t="s">
        <v>23</v>
      </c>
      <c r="B86" s="43">
        <f>18285</f>
        <v>18285</v>
      </c>
      <c r="C86" s="44">
        <f t="shared" si="34"/>
        <v>10621.8</v>
      </c>
      <c r="D86" s="45">
        <f t="shared" si="35"/>
        <v>7663.2</v>
      </c>
      <c r="E86" s="11">
        <f t="shared" si="36"/>
        <v>41.9097621</v>
      </c>
      <c r="F86" s="46">
        <f t="shared" si="37"/>
        <v>478.95</v>
      </c>
      <c r="G86" s="47">
        <v>23.0</v>
      </c>
      <c r="H86" s="14">
        <f>350*I86</f>
        <v>5600</v>
      </c>
      <c r="I86" s="48">
        <v>16.0</v>
      </c>
      <c r="J86" s="14">
        <f t="shared" si="38"/>
        <v>7</v>
      </c>
      <c r="K86" s="49">
        <f>5021.8</f>
        <v>5021.8</v>
      </c>
      <c r="L86" s="50">
        <f t="shared" si="39"/>
        <v>30.43478261</v>
      </c>
      <c r="M86" s="51">
        <f t="shared" si="40"/>
        <v>3657</v>
      </c>
      <c r="P86" s="54">
        <f>B86/B101*100</f>
        <v>14.62402227</v>
      </c>
    </row>
    <row r="87">
      <c r="A87" s="42" t="s">
        <v>25</v>
      </c>
      <c r="B87" s="43">
        <f>1749</f>
        <v>1749</v>
      </c>
      <c r="C87" s="44">
        <f t="shared" si="34"/>
        <v>1960.27</v>
      </c>
      <c r="D87" s="45">
        <f t="shared" si="35"/>
        <v>-211.27</v>
      </c>
      <c r="E87" s="11">
        <f t="shared" si="36"/>
        <v>-12.07947399</v>
      </c>
      <c r="F87" s="46">
        <f t="shared" si="37"/>
        <v>-211.27</v>
      </c>
      <c r="G87" s="47">
        <v>2.0</v>
      </c>
      <c r="H87" s="14">
        <f> 980*I87</f>
        <v>980</v>
      </c>
      <c r="I87" s="48">
        <v>1.0</v>
      </c>
      <c r="J87" s="14">
        <f t="shared" si="38"/>
        <v>1</v>
      </c>
      <c r="K87" s="49">
        <f>980.27</f>
        <v>980.27</v>
      </c>
      <c r="L87" s="50">
        <f t="shared" si="39"/>
        <v>50</v>
      </c>
      <c r="M87" s="51">
        <f t="shared" si="40"/>
        <v>349.8</v>
      </c>
      <c r="P87" s="54">
        <f>B87/B101*100</f>
        <v>1.398819521</v>
      </c>
    </row>
    <row r="88">
      <c r="A88" s="42" t="s">
        <v>26</v>
      </c>
      <c r="B88" s="43">
        <f>49838</f>
        <v>49838</v>
      </c>
      <c r="C88" s="44">
        <f t="shared" si="34"/>
        <v>37131.93</v>
      </c>
      <c r="D88" s="45">
        <f t="shared" si="35"/>
        <v>12706.07</v>
      </c>
      <c r="E88" s="11">
        <f t="shared" si="36"/>
        <v>25.49474297</v>
      </c>
      <c r="F88" s="46">
        <f t="shared" si="37"/>
        <v>117.6487963</v>
      </c>
      <c r="G88" s="47">
        <v>134.0</v>
      </c>
      <c r="H88" s="14">
        <f>220*I88</f>
        <v>23760</v>
      </c>
      <c r="I88" s="48">
        <v>108.0</v>
      </c>
      <c r="J88" s="14">
        <f t="shared" si="38"/>
        <v>26</v>
      </c>
      <c r="K88" s="49">
        <f>13371.93</f>
        <v>13371.93</v>
      </c>
      <c r="L88" s="50">
        <f t="shared" si="39"/>
        <v>19.40298507</v>
      </c>
      <c r="M88" s="51">
        <f t="shared" si="40"/>
        <v>9967.6</v>
      </c>
      <c r="P88" s="54">
        <f>B88/B101*100</f>
        <v>39.8595582</v>
      </c>
    </row>
    <row r="89">
      <c r="A89" s="42" t="s">
        <v>28</v>
      </c>
      <c r="B89" s="43">
        <v>0.0</v>
      </c>
      <c r="C89" s="44">
        <f t="shared" si="34"/>
        <v>0</v>
      </c>
      <c r="D89" s="45">
        <f t="shared" si="35"/>
        <v>0</v>
      </c>
      <c r="E89" s="11" t="str">
        <f t="shared" si="36"/>
        <v>#DIV/0!</v>
      </c>
      <c r="F89" s="46" t="str">
        <f t="shared" si="37"/>
        <v>#DIV/0!</v>
      </c>
      <c r="G89" s="47">
        <v>0.0</v>
      </c>
      <c r="H89" s="14">
        <f>270*I89</f>
        <v>0</v>
      </c>
      <c r="I89" s="48">
        <v>0.0</v>
      </c>
      <c r="J89" s="14">
        <f t="shared" si="38"/>
        <v>0</v>
      </c>
      <c r="K89" s="49">
        <v>0.0</v>
      </c>
      <c r="L89" s="50" t="str">
        <f t="shared" si="39"/>
        <v>#DIV/0!</v>
      </c>
      <c r="M89" s="51">
        <f t="shared" si="40"/>
        <v>0</v>
      </c>
      <c r="P89" s="54">
        <f>B89/B101*100</f>
        <v>0</v>
      </c>
    </row>
    <row r="90">
      <c r="A90" s="42" t="s">
        <v>29</v>
      </c>
      <c r="B90" s="43">
        <f>6654</f>
        <v>6654</v>
      </c>
      <c r="C90" s="44">
        <f t="shared" si="34"/>
        <v>3948.57</v>
      </c>
      <c r="D90" s="45">
        <f t="shared" si="35"/>
        <v>2705.43</v>
      </c>
      <c r="E90" s="11">
        <f t="shared" si="36"/>
        <v>40.65870153</v>
      </c>
      <c r="F90" s="46">
        <f t="shared" si="37"/>
        <v>450.905</v>
      </c>
      <c r="G90" s="47">
        <v>10.0</v>
      </c>
      <c r="H90" s="14">
        <f>320*I90</f>
        <v>1920</v>
      </c>
      <c r="I90" s="48">
        <v>6.0</v>
      </c>
      <c r="J90" s="14">
        <f t="shared" si="38"/>
        <v>4</v>
      </c>
      <c r="K90" s="49">
        <f>2028.57</f>
        <v>2028.57</v>
      </c>
      <c r="L90" s="50">
        <f t="shared" si="39"/>
        <v>40</v>
      </c>
      <c r="M90" s="51">
        <f t="shared" si="40"/>
        <v>1330.8</v>
      </c>
      <c r="P90" s="54">
        <f>B90/B101*100</f>
        <v>5.321752483</v>
      </c>
    </row>
    <row r="91">
      <c r="A91" s="42" t="s">
        <v>31</v>
      </c>
      <c r="B91" s="43">
        <f>2478</f>
        <v>2478</v>
      </c>
      <c r="C91" s="44">
        <f t="shared" si="34"/>
        <v>1776.97</v>
      </c>
      <c r="D91" s="45">
        <f t="shared" si="35"/>
        <v>701.03</v>
      </c>
      <c r="E91" s="11">
        <f t="shared" si="36"/>
        <v>28.29015335</v>
      </c>
      <c r="F91" s="46">
        <f t="shared" si="37"/>
        <v>350.515</v>
      </c>
      <c r="G91" s="47">
        <v>6.0</v>
      </c>
      <c r="H91" s="14">
        <f>470*I91</f>
        <v>940</v>
      </c>
      <c r="I91" s="48">
        <v>2.0</v>
      </c>
      <c r="J91" s="14">
        <f t="shared" si="38"/>
        <v>4</v>
      </c>
      <c r="K91" s="49">
        <f>836.97</f>
        <v>836.97</v>
      </c>
      <c r="L91" s="50">
        <f t="shared" si="39"/>
        <v>66.66666667</v>
      </c>
      <c r="M91" s="51">
        <f t="shared" si="40"/>
        <v>495.6</v>
      </c>
      <c r="P91" s="54">
        <f>B91/B101*100</f>
        <v>1.981860934</v>
      </c>
    </row>
    <row r="92">
      <c r="A92" s="42" t="s">
        <v>66</v>
      </c>
      <c r="B92" s="43">
        <f>614</f>
        <v>614</v>
      </c>
      <c r="C92" s="44">
        <f t="shared" si="34"/>
        <v>1206.6</v>
      </c>
      <c r="D92" s="45">
        <f t="shared" si="35"/>
        <v>-592.6</v>
      </c>
      <c r="E92" s="11">
        <f t="shared" si="36"/>
        <v>-96.51465798</v>
      </c>
      <c r="F92" s="46">
        <f t="shared" si="37"/>
        <v>-592.6</v>
      </c>
      <c r="G92" s="47">
        <v>5.0</v>
      </c>
      <c r="H92" s="14">
        <f>200*I92</f>
        <v>200</v>
      </c>
      <c r="I92" s="48">
        <v>1.0</v>
      </c>
      <c r="J92" s="14">
        <f t="shared" si="38"/>
        <v>4</v>
      </c>
      <c r="K92" s="49">
        <f>1006.6</f>
        <v>1006.6</v>
      </c>
      <c r="L92" s="50">
        <f t="shared" si="39"/>
        <v>80</v>
      </c>
      <c r="M92" s="51">
        <f t="shared" si="40"/>
        <v>122.8</v>
      </c>
      <c r="P92" s="54">
        <f>B92/B101*100</f>
        <v>0.4910664299</v>
      </c>
    </row>
    <row r="93">
      <c r="A93" s="42" t="s">
        <v>33</v>
      </c>
      <c r="B93" s="43">
        <v>7556.0</v>
      </c>
      <c r="C93" s="44">
        <f t="shared" si="34"/>
        <v>6532</v>
      </c>
      <c r="D93" s="45">
        <f t="shared" si="35"/>
        <v>1024</v>
      </c>
      <c r="E93" s="11">
        <f t="shared" si="36"/>
        <v>13.55214399</v>
      </c>
      <c r="F93" s="46">
        <f t="shared" si="37"/>
        <v>256</v>
      </c>
      <c r="G93" s="47">
        <v>9.0</v>
      </c>
      <c r="H93" s="14">
        <f>1000*I93</f>
        <v>4000</v>
      </c>
      <c r="I93" s="48">
        <v>4.0</v>
      </c>
      <c r="J93" s="14">
        <f t="shared" si="38"/>
        <v>5</v>
      </c>
      <c r="K93" s="49">
        <v>2532.0</v>
      </c>
      <c r="L93" s="50">
        <f t="shared" si="39"/>
        <v>55.55555556</v>
      </c>
      <c r="M93" s="51">
        <v>0.0</v>
      </c>
      <c r="P93" s="54">
        <f>B93/B101*100</f>
        <v>6.043156261</v>
      </c>
      <c r="X93" s="3"/>
    </row>
    <row r="94">
      <c r="A94" s="42" t="s">
        <v>67</v>
      </c>
      <c r="B94" s="43">
        <f>18944</f>
        <v>18944</v>
      </c>
      <c r="C94" s="44">
        <f t="shared" si="34"/>
        <v>11430.14</v>
      </c>
      <c r="D94" s="45">
        <f t="shared" si="35"/>
        <v>7513.86</v>
      </c>
      <c r="E94" s="11">
        <f t="shared" si="36"/>
        <v>39.66353463</v>
      </c>
      <c r="F94" s="46">
        <f t="shared" si="37"/>
        <v>536.7042857</v>
      </c>
      <c r="G94" s="47">
        <v>15.0</v>
      </c>
      <c r="H94" s="14">
        <f>(220+350)*I94</f>
        <v>7980</v>
      </c>
      <c r="I94" s="48">
        <v>14.0</v>
      </c>
      <c r="J94" s="14">
        <f t="shared" si="38"/>
        <v>1</v>
      </c>
      <c r="K94" s="49">
        <f>3450.14</f>
        <v>3450.14</v>
      </c>
      <c r="L94" s="50">
        <f t="shared" si="39"/>
        <v>6.666666667</v>
      </c>
      <c r="M94" s="51">
        <f t="shared" ref="M94:M97" si="41">20%*B94</f>
        <v>3788.8</v>
      </c>
      <c r="P94" s="54">
        <f>B94/B101*100</f>
        <v>15.15107891</v>
      </c>
      <c r="X94" s="3"/>
    </row>
    <row r="95">
      <c r="A95" s="42" t="s">
        <v>55</v>
      </c>
      <c r="B95" s="43">
        <v>0.0</v>
      </c>
      <c r="C95" s="44">
        <f t="shared" si="34"/>
        <v>0</v>
      </c>
      <c r="D95" s="45">
        <f t="shared" si="35"/>
        <v>0</v>
      </c>
      <c r="E95" s="11" t="str">
        <f t="shared" si="36"/>
        <v>#DIV/0!</v>
      </c>
      <c r="F95" s="46" t="str">
        <f t="shared" si="37"/>
        <v>#DIV/0!</v>
      </c>
      <c r="G95" s="47">
        <v>0.0</v>
      </c>
      <c r="H95" s="14">
        <f>(270+220)*I95</f>
        <v>0</v>
      </c>
      <c r="I95" s="48">
        <v>0.0</v>
      </c>
      <c r="J95" s="14">
        <f t="shared" si="38"/>
        <v>0</v>
      </c>
      <c r="K95" s="49">
        <v>0.0</v>
      </c>
      <c r="L95" s="50" t="str">
        <f t="shared" si="39"/>
        <v>#DIV/0!</v>
      </c>
      <c r="M95" s="51">
        <f t="shared" si="41"/>
        <v>0</v>
      </c>
      <c r="P95" s="54">
        <f>B95/B101*100</f>
        <v>0</v>
      </c>
      <c r="X95" s="3"/>
    </row>
    <row r="96">
      <c r="A96" s="42" t="s">
        <v>68</v>
      </c>
      <c r="B96" s="43">
        <f>4096</f>
        <v>4096</v>
      </c>
      <c r="C96" s="44">
        <f t="shared" si="34"/>
        <v>2334.78</v>
      </c>
      <c r="D96" s="45">
        <f t="shared" si="35"/>
        <v>1761.22</v>
      </c>
      <c r="E96" s="11">
        <f t="shared" si="36"/>
        <v>42.99853516</v>
      </c>
      <c r="F96" s="46">
        <f t="shared" si="37"/>
        <v>880.61</v>
      </c>
      <c r="G96" s="47">
        <v>3.0</v>
      </c>
      <c r="H96" s="14">
        <f>(320+350)*I96</f>
        <v>1340</v>
      </c>
      <c r="I96" s="48">
        <v>2.0</v>
      </c>
      <c r="J96" s="14">
        <f t="shared" si="38"/>
        <v>1</v>
      </c>
      <c r="K96" s="49">
        <f>994.78</f>
        <v>994.78</v>
      </c>
      <c r="L96" s="50">
        <f t="shared" si="39"/>
        <v>33.33333333</v>
      </c>
      <c r="M96" s="51">
        <f t="shared" si="41"/>
        <v>819.2</v>
      </c>
      <c r="P96" s="54">
        <f>B96/B101*100</f>
        <v>3.275908953</v>
      </c>
      <c r="U96" s="3"/>
      <c r="V96" s="3"/>
      <c r="W96" s="3"/>
      <c r="X96" s="3"/>
    </row>
    <row r="97">
      <c r="A97" s="42" t="s">
        <v>56</v>
      </c>
      <c r="B97" s="43">
        <f>3592</f>
        <v>3592</v>
      </c>
      <c r="C97" s="44">
        <f t="shared" si="34"/>
        <v>1999.39</v>
      </c>
      <c r="D97" s="45">
        <f t="shared" si="35"/>
        <v>1592.61</v>
      </c>
      <c r="E97" s="11">
        <f t="shared" si="36"/>
        <v>44.33769488</v>
      </c>
      <c r="F97" s="46">
        <f t="shared" si="37"/>
        <v>796.305</v>
      </c>
      <c r="G97" s="47">
        <v>3.0</v>
      </c>
      <c r="H97" s="14">
        <f>(270+350)*I97</f>
        <v>1240</v>
      </c>
      <c r="I97" s="48">
        <v>2.0</v>
      </c>
      <c r="J97" s="14">
        <f t="shared" si="38"/>
        <v>1</v>
      </c>
      <c r="K97" s="49">
        <f>759.39</f>
        <v>759.39</v>
      </c>
      <c r="L97" s="50">
        <f t="shared" si="39"/>
        <v>33.33333333</v>
      </c>
      <c r="M97" s="51">
        <f t="shared" si="41"/>
        <v>718.4</v>
      </c>
      <c r="P97" s="54">
        <f>B97/B101*100</f>
        <v>2.872818593</v>
      </c>
      <c r="U97" s="3"/>
      <c r="V97" s="3"/>
      <c r="W97" s="3"/>
      <c r="X97" s="3"/>
    </row>
    <row r="98">
      <c r="A98" s="3"/>
      <c r="B98" s="41">
        <f t="shared" ref="B98:D98" si="42">SUM(B85:B97)</f>
        <v>125034</v>
      </c>
      <c r="C98" s="41">
        <f t="shared" si="42"/>
        <v>86418.69</v>
      </c>
      <c r="D98" s="53">
        <f t="shared" si="42"/>
        <v>38615.31</v>
      </c>
      <c r="E98" s="3"/>
      <c r="F98" s="3"/>
      <c r="G98" s="41">
        <f t="shared" ref="G98:K98" si="43">SUM(G85:G97)</f>
        <v>232</v>
      </c>
      <c r="H98" s="41">
        <f t="shared" si="43"/>
        <v>51200</v>
      </c>
      <c r="I98" s="41">
        <f t="shared" si="43"/>
        <v>168</v>
      </c>
      <c r="J98" s="41">
        <f t="shared" si="43"/>
        <v>64</v>
      </c>
      <c r="K98" s="41">
        <f t="shared" si="43"/>
        <v>35218.69</v>
      </c>
      <c r="L98" s="3"/>
      <c r="M98" s="41">
        <f>SUM(M85:M97)</f>
        <v>23495.6</v>
      </c>
      <c r="P98" s="54">
        <f>B98/B101*100</f>
        <v>100</v>
      </c>
      <c r="U98" s="3"/>
      <c r="V98" s="3"/>
      <c r="W98" s="3"/>
      <c r="X98" s="3"/>
    </row>
    <row r="99">
      <c r="P99" s="54"/>
      <c r="U99" s="3"/>
      <c r="V99" s="3"/>
      <c r="W99" s="3"/>
      <c r="X99" s="3"/>
    </row>
    <row r="100">
      <c r="P100" s="54"/>
      <c r="U100" s="3"/>
      <c r="V100" s="3"/>
      <c r="W100" s="3"/>
      <c r="X100" s="3"/>
    </row>
    <row r="101">
      <c r="A101" s="31" t="s">
        <v>40</v>
      </c>
      <c r="B101" s="36">
        <f>B98</f>
        <v>125034</v>
      </c>
      <c r="C101" s="3"/>
      <c r="D101" s="3"/>
      <c r="E101" s="3"/>
      <c r="U101" s="3"/>
      <c r="V101" s="3"/>
      <c r="W101" s="3"/>
    </row>
    <row r="102">
      <c r="A102" s="31" t="s">
        <v>41</v>
      </c>
      <c r="B102" s="36">
        <f>H98</f>
        <v>51200</v>
      </c>
      <c r="C102" s="3"/>
      <c r="D102" s="30"/>
      <c r="E102" s="3"/>
      <c r="U102" s="3"/>
      <c r="V102" s="3"/>
      <c r="W102" s="3"/>
    </row>
    <row r="103">
      <c r="A103" s="31" t="s">
        <v>69</v>
      </c>
      <c r="B103" s="36">
        <f>K98-B104</f>
        <v>11723.09</v>
      </c>
      <c r="C103" s="3"/>
      <c r="D103" s="33" t="s">
        <v>41</v>
      </c>
      <c r="E103" s="34">
        <f>B102/I98</f>
        <v>304.7619048</v>
      </c>
      <c r="U103" s="3"/>
      <c r="V103" s="3"/>
      <c r="W103" s="3"/>
    </row>
    <row r="104">
      <c r="A104" s="31" t="s">
        <v>44</v>
      </c>
      <c r="B104" s="36">
        <f>M98</f>
        <v>23495.6</v>
      </c>
      <c r="C104" s="3"/>
      <c r="D104" s="33" t="s">
        <v>42</v>
      </c>
      <c r="E104" s="34">
        <f>B104/I98</f>
        <v>139.8547619</v>
      </c>
    </row>
    <row r="105">
      <c r="A105" s="31" t="s">
        <v>62</v>
      </c>
      <c r="B105" s="36">
        <f>B101-SUM(B102:B104)</f>
        <v>38615.31</v>
      </c>
      <c r="C105" s="3"/>
      <c r="D105" s="33" t="s">
        <v>63</v>
      </c>
      <c r="E105" s="34">
        <f>B103/I98</f>
        <v>69.78029762</v>
      </c>
    </row>
    <row r="106">
      <c r="A106" s="31" t="s">
        <v>47</v>
      </c>
      <c r="B106" s="62">
        <f>B105/B101*100</f>
        <v>30.88384759</v>
      </c>
      <c r="C106" s="3"/>
      <c r="D106" s="33" t="s">
        <v>45</v>
      </c>
      <c r="E106" s="34">
        <f>B101/I98</f>
        <v>744.25</v>
      </c>
    </row>
    <row r="111">
      <c r="A111" s="1" t="s">
        <v>127</v>
      </c>
      <c r="B111" s="2" t="s">
        <v>70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S112" s="3"/>
      <c r="T112" s="3"/>
    </row>
    <row r="113">
      <c r="A113" s="38" t="s">
        <v>49</v>
      </c>
      <c r="B113" s="24" t="s">
        <v>3</v>
      </c>
      <c r="C113" s="24" t="s">
        <v>4</v>
      </c>
      <c r="D113" s="24" t="s">
        <v>5</v>
      </c>
      <c r="E113" s="39" t="s">
        <v>6</v>
      </c>
      <c r="F113" s="24" t="s">
        <v>7</v>
      </c>
      <c r="G113" s="24" t="s">
        <v>71</v>
      </c>
      <c r="H113" s="24" t="s">
        <v>9</v>
      </c>
      <c r="I113" s="24" t="s">
        <v>72</v>
      </c>
      <c r="J113" s="24" t="s">
        <v>73</v>
      </c>
      <c r="K113" s="28" t="s">
        <v>43</v>
      </c>
      <c r="L113" s="3"/>
      <c r="M113" s="3"/>
      <c r="N113" s="3"/>
      <c r="S113" s="3"/>
      <c r="T113" s="3"/>
    </row>
    <row r="114">
      <c r="A114" s="42" t="s">
        <v>21</v>
      </c>
      <c r="B114" s="43">
        <f>689*H114</f>
        <v>73723</v>
      </c>
      <c r="C114" s="63">
        <f t="shared" ref="C114:C117" si="44">J114+G114+I114+K114</f>
        <v>31030</v>
      </c>
      <c r="D114" s="45">
        <f t="shared" ref="D114:D117" si="45">B114-C114</f>
        <v>42693</v>
      </c>
      <c r="E114" s="11">
        <f t="shared" ref="E114:E117" si="46">D114/B114*100</f>
        <v>57.91001451</v>
      </c>
      <c r="F114" s="46">
        <f t="shared" ref="F114:F117" si="47">D114/H114</f>
        <v>399</v>
      </c>
      <c r="G114" s="14">
        <f>270*H114</f>
        <v>28890</v>
      </c>
      <c r="H114" s="48">
        <v>107.0</v>
      </c>
      <c r="I114" s="14">
        <v>0.0</v>
      </c>
      <c r="J114" s="64">
        <v>0.0</v>
      </c>
      <c r="K114" s="65">
        <f t="shared" ref="K114:K117" si="48">20*H114</f>
        <v>2140</v>
      </c>
      <c r="L114" s="53"/>
      <c r="M114" s="41">
        <v>59209.0</v>
      </c>
      <c r="N114" s="3"/>
      <c r="S114" s="3"/>
      <c r="T114" s="3"/>
    </row>
    <row r="115">
      <c r="A115" s="42" t="s">
        <v>26</v>
      </c>
      <c r="B115" s="43">
        <f>359*H115</f>
        <v>32669</v>
      </c>
      <c r="C115" s="63">
        <f t="shared" si="44"/>
        <v>21840</v>
      </c>
      <c r="D115" s="45">
        <f t="shared" si="45"/>
        <v>10829</v>
      </c>
      <c r="E115" s="11">
        <f t="shared" si="46"/>
        <v>33.14763231</v>
      </c>
      <c r="F115" s="46">
        <f t="shared" si="47"/>
        <v>119</v>
      </c>
      <c r="G115" s="14">
        <f>220*H115</f>
        <v>20020</v>
      </c>
      <c r="H115" s="48">
        <v>91.0</v>
      </c>
      <c r="I115" s="14">
        <v>0.0</v>
      </c>
      <c r="J115" s="64">
        <v>0.0</v>
      </c>
      <c r="K115" s="65">
        <f t="shared" si="48"/>
        <v>1820</v>
      </c>
      <c r="L115" s="53"/>
      <c r="M115" s="3"/>
      <c r="N115" s="3"/>
      <c r="S115" s="3"/>
      <c r="T115" s="3"/>
    </row>
    <row r="116">
      <c r="A116" s="42" t="s">
        <v>23</v>
      </c>
      <c r="B116" s="43">
        <f>781*H116</f>
        <v>56232</v>
      </c>
      <c r="C116" s="44">
        <f t="shared" si="44"/>
        <v>26640</v>
      </c>
      <c r="D116" s="45">
        <f t="shared" si="45"/>
        <v>29592</v>
      </c>
      <c r="E116" s="11">
        <f t="shared" si="46"/>
        <v>52.62483995</v>
      </c>
      <c r="F116" s="46">
        <f t="shared" si="47"/>
        <v>411</v>
      </c>
      <c r="G116" s="14">
        <f t="shared" ref="G116:G117" si="49">350*H116</f>
        <v>25200</v>
      </c>
      <c r="H116" s="48">
        <v>72.0</v>
      </c>
      <c r="I116" s="14">
        <v>0.0</v>
      </c>
      <c r="J116" s="66">
        <f t="shared" ref="J116:J117" si="50">L116%*M116</f>
        <v>0</v>
      </c>
      <c r="K116" s="65">
        <f t="shared" si="48"/>
        <v>1440</v>
      </c>
      <c r="L116" s="3"/>
      <c r="M116" s="3"/>
      <c r="N116" s="3"/>
      <c r="S116" s="3"/>
      <c r="T116" s="3"/>
    </row>
    <row r="117">
      <c r="A117" s="42" t="s">
        <v>29</v>
      </c>
      <c r="B117" s="43">
        <f>843*H117</f>
        <v>29505</v>
      </c>
      <c r="C117" s="44">
        <f t="shared" si="44"/>
        <v>12950</v>
      </c>
      <c r="D117" s="45">
        <f t="shared" si="45"/>
        <v>16555</v>
      </c>
      <c r="E117" s="11">
        <f t="shared" si="46"/>
        <v>56.10913405</v>
      </c>
      <c r="F117" s="46">
        <f t="shared" si="47"/>
        <v>473</v>
      </c>
      <c r="G117" s="14">
        <f t="shared" si="49"/>
        <v>12250</v>
      </c>
      <c r="H117" s="48">
        <v>35.0</v>
      </c>
      <c r="I117" s="14">
        <v>0.0</v>
      </c>
      <c r="J117" s="66">
        <f t="shared" si="50"/>
        <v>0</v>
      </c>
      <c r="K117" s="65">
        <f t="shared" si="48"/>
        <v>700</v>
      </c>
      <c r="L117" s="3"/>
      <c r="M117" s="3"/>
      <c r="N117" s="3"/>
      <c r="S117" s="3"/>
      <c r="T117" s="3"/>
    </row>
    <row r="118">
      <c r="A118" s="3"/>
      <c r="B118" s="41">
        <f t="shared" ref="B118:H118" si="51">SUM(B114:B117)</f>
        <v>192129</v>
      </c>
      <c r="C118" s="67">
        <f t="shared" si="51"/>
        <v>92460</v>
      </c>
      <c r="D118" s="53">
        <f t="shared" si="51"/>
        <v>99669</v>
      </c>
      <c r="E118" s="68">
        <f t="shared" si="51"/>
        <v>199.7916208</v>
      </c>
      <c r="F118" s="68">
        <f t="shared" si="51"/>
        <v>1402</v>
      </c>
      <c r="G118" s="41">
        <f t="shared" si="51"/>
        <v>86360</v>
      </c>
      <c r="H118" s="41">
        <f t="shared" si="51"/>
        <v>305</v>
      </c>
      <c r="I118" s="41">
        <v>59209.0</v>
      </c>
      <c r="J118" s="67">
        <f t="shared" ref="J118:K118" si="52">SUM(J114:J117)</f>
        <v>0</v>
      </c>
      <c r="K118" s="41">
        <f t="shared" si="52"/>
        <v>6100</v>
      </c>
      <c r="L118" s="3"/>
      <c r="M118" s="3"/>
      <c r="N118" s="3"/>
      <c r="O118" s="3"/>
      <c r="P118" s="3"/>
      <c r="Q118" s="3"/>
      <c r="R118" s="3"/>
      <c r="S118" s="3"/>
      <c r="T118" s="3"/>
      <c r="Y118" s="3"/>
      <c r="Z118" s="3"/>
    </row>
    <row r="121">
      <c r="A121" s="31" t="s">
        <v>40</v>
      </c>
      <c r="B121" s="32">
        <f>B118</f>
        <v>192129</v>
      </c>
      <c r="C121" s="3"/>
      <c r="D121" s="30" t="s">
        <v>39</v>
      </c>
      <c r="E121" s="3"/>
    </row>
    <row r="122">
      <c r="A122" s="31" t="s">
        <v>41</v>
      </c>
      <c r="B122" s="32">
        <f>G118</f>
        <v>86360</v>
      </c>
      <c r="C122" s="3"/>
      <c r="D122" s="33" t="s">
        <v>41</v>
      </c>
      <c r="E122" s="34">
        <f>B122/H118</f>
        <v>283.147541</v>
      </c>
    </row>
    <row r="123">
      <c r="A123" s="31" t="s">
        <v>74</v>
      </c>
      <c r="B123" s="32">
        <f>K118</f>
        <v>6100</v>
      </c>
      <c r="C123" s="3"/>
      <c r="D123" s="33" t="s">
        <v>42</v>
      </c>
      <c r="E123" s="34">
        <f>B124/H118</f>
        <v>194.1278689</v>
      </c>
    </row>
    <row r="124">
      <c r="A124" s="31" t="s">
        <v>75</v>
      </c>
      <c r="B124" s="62">
        <f>I118+J118</f>
        <v>59209</v>
      </c>
      <c r="C124" s="3"/>
      <c r="D124" s="56" t="s">
        <v>43</v>
      </c>
      <c r="E124" s="34">
        <f>K118/H118</f>
        <v>20</v>
      </c>
    </row>
    <row r="125">
      <c r="A125" s="31" t="s">
        <v>62</v>
      </c>
      <c r="B125" s="32">
        <f>B121-SUM(B122:B124)</f>
        <v>40460</v>
      </c>
      <c r="C125" s="3"/>
      <c r="D125" s="33" t="s">
        <v>45</v>
      </c>
      <c r="E125" s="34">
        <f>B121/H118</f>
        <v>629.9311475</v>
      </c>
    </row>
    <row r="126">
      <c r="A126" s="31" t="s">
        <v>47</v>
      </c>
      <c r="B126" s="62">
        <f>B125/B121*100</f>
        <v>21.05876781</v>
      </c>
      <c r="C126" s="3"/>
      <c r="D126" s="3"/>
      <c r="E126" s="3"/>
    </row>
    <row r="130">
      <c r="X130" s="3"/>
    </row>
    <row r="131">
      <c r="X131" s="3"/>
    </row>
    <row r="132">
      <c r="A132" s="1" t="s">
        <v>127</v>
      </c>
      <c r="B132" s="2" t="s">
        <v>76</v>
      </c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U133" s="3"/>
      <c r="V133" s="3"/>
      <c r="W133" s="3"/>
    </row>
    <row r="134">
      <c r="A134" s="38" t="s">
        <v>49</v>
      </c>
      <c r="B134" s="24" t="s">
        <v>3</v>
      </c>
      <c r="C134" s="24" t="s">
        <v>4</v>
      </c>
      <c r="D134" s="24" t="s">
        <v>5</v>
      </c>
      <c r="E134" s="39" t="s">
        <v>6</v>
      </c>
      <c r="F134" s="24" t="s">
        <v>7</v>
      </c>
      <c r="G134" s="24" t="s">
        <v>71</v>
      </c>
      <c r="H134" s="24" t="s">
        <v>9</v>
      </c>
      <c r="I134" s="24" t="s">
        <v>77</v>
      </c>
      <c r="J134" s="24" t="s">
        <v>73</v>
      </c>
      <c r="K134" s="28" t="s">
        <v>43</v>
      </c>
      <c r="U134" s="3"/>
      <c r="V134" s="3"/>
      <c r="W134" s="3"/>
    </row>
    <row r="135">
      <c r="A135" s="42" t="s">
        <v>21</v>
      </c>
      <c r="B135" s="43">
        <f>727*H135</f>
        <v>23264</v>
      </c>
      <c r="C135" s="44">
        <f t="shared" ref="C135:C137" si="53">J135+G135+I135+K135</f>
        <v>9280</v>
      </c>
      <c r="D135" s="45">
        <f t="shared" ref="D135:D138" si="54">B135-C135</f>
        <v>13984</v>
      </c>
      <c r="E135" s="11">
        <f t="shared" ref="E135:E137" si="55">D135/B135*100</f>
        <v>60.11004127</v>
      </c>
      <c r="F135" s="46">
        <f t="shared" ref="F135:F137" si="56">D135/H135</f>
        <v>437</v>
      </c>
      <c r="G135" s="14">
        <f>270*H135</f>
        <v>8640</v>
      </c>
      <c r="H135" s="48">
        <v>32.0</v>
      </c>
      <c r="I135" s="14">
        <v>0.0</v>
      </c>
      <c r="J135" s="66">
        <v>0.0</v>
      </c>
      <c r="K135" s="65">
        <f t="shared" ref="K135:K137" si="57">20*H135</f>
        <v>640</v>
      </c>
    </row>
    <row r="136">
      <c r="A136" s="42" t="s">
        <v>26</v>
      </c>
      <c r="B136" s="43">
        <f>385*H136</f>
        <v>11165</v>
      </c>
      <c r="C136" s="44">
        <f t="shared" si="53"/>
        <v>6960</v>
      </c>
      <c r="D136" s="45">
        <f t="shared" si="54"/>
        <v>4205</v>
      </c>
      <c r="E136" s="11">
        <f t="shared" si="55"/>
        <v>37.66233766</v>
      </c>
      <c r="F136" s="46">
        <f t="shared" si="56"/>
        <v>145</v>
      </c>
      <c r="G136" s="14">
        <f>220*H136</f>
        <v>6380</v>
      </c>
      <c r="H136" s="48">
        <v>29.0</v>
      </c>
      <c r="I136" s="14">
        <v>0.0</v>
      </c>
      <c r="J136" s="66">
        <v>0.0</v>
      </c>
      <c r="K136" s="65">
        <f t="shared" si="57"/>
        <v>580</v>
      </c>
    </row>
    <row r="137">
      <c r="A137" s="42" t="s">
        <v>23</v>
      </c>
      <c r="B137" s="43">
        <f>801*H137</f>
        <v>52065</v>
      </c>
      <c r="C137" s="44">
        <f t="shared" si="53"/>
        <v>24050</v>
      </c>
      <c r="D137" s="45">
        <f t="shared" si="54"/>
        <v>28015</v>
      </c>
      <c r="E137" s="11">
        <f t="shared" si="55"/>
        <v>53.80774032</v>
      </c>
      <c r="F137" s="46">
        <f t="shared" si="56"/>
        <v>431</v>
      </c>
      <c r="G137" s="14">
        <f>350*H137</f>
        <v>22750</v>
      </c>
      <c r="H137" s="48">
        <v>65.0</v>
      </c>
      <c r="I137" s="14">
        <v>0.0</v>
      </c>
      <c r="J137" s="66">
        <v>0.0</v>
      </c>
      <c r="K137" s="65">
        <f t="shared" si="57"/>
        <v>1300</v>
      </c>
    </row>
    <row r="138">
      <c r="A138" s="3"/>
      <c r="B138" s="41">
        <f t="shared" ref="B138:C138" si="58">SUM(B135:B137)</f>
        <v>86494</v>
      </c>
      <c r="C138" s="41">
        <f t="shared" si="58"/>
        <v>40290</v>
      </c>
      <c r="D138" s="41">
        <f t="shared" si="54"/>
        <v>46204</v>
      </c>
      <c r="E138" s="3"/>
      <c r="F138" s="3"/>
      <c r="G138" s="41">
        <f t="shared" ref="G138:H138" si="59">SUM(G135:G137)</f>
        <v>37770</v>
      </c>
      <c r="H138" s="41">
        <f t="shared" si="59"/>
        <v>126</v>
      </c>
      <c r="I138" s="3">
        <v>3819.0</v>
      </c>
      <c r="J138" s="3"/>
      <c r="K138" s="41">
        <f>SUM(K135:K137)</f>
        <v>2520</v>
      </c>
    </row>
    <row r="140">
      <c r="A140" s="31" t="s">
        <v>40</v>
      </c>
      <c r="B140" s="32">
        <f>B138</f>
        <v>86494</v>
      </c>
      <c r="C140" s="3"/>
      <c r="D140" s="30" t="s">
        <v>39</v>
      </c>
      <c r="E140" s="3"/>
    </row>
    <row r="141">
      <c r="A141" s="31" t="s">
        <v>41</v>
      </c>
      <c r="B141" s="32">
        <f>G138</f>
        <v>37770</v>
      </c>
      <c r="C141" s="3"/>
      <c r="D141" s="33" t="s">
        <v>41</v>
      </c>
      <c r="E141" s="34">
        <f>B141/H138</f>
        <v>299.7619048</v>
      </c>
    </row>
    <row r="142">
      <c r="A142" s="31" t="s">
        <v>74</v>
      </c>
      <c r="B142" s="32">
        <f>K138</f>
        <v>2520</v>
      </c>
      <c r="C142" s="3"/>
      <c r="D142" s="33" t="s">
        <v>42</v>
      </c>
      <c r="E142" s="34">
        <f>B143</f>
        <v>3819</v>
      </c>
    </row>
    <row r="143">
      <c r="A143" s="31" t="s">
        <v>75</v>
      </c>
      <c r="B143" s="32">
        <f>I138+J138</f>
        <v>3819</v>
      </c>
      <c r="C143" s="3"/>
      <c r="D143" s="69" t="s">
        <v>43</v>
      </c>
      <c r="E143" s="34">
        <f>B142/H138</f>
        <v>20</v>
      </c>
    </row>
    <row r="144">
      <c r="A144" s="31" t="s">
        <v>62</v>
      </c>
      <c r="B144" s="32">
        <f>B140-SUM(B141:B143)</f>
        <v>42385</v>
      </c>
      <c r="C144" s="3"/>
      <c r="D144" s="33" t="s">
        <v>45</v>
      </c>
      <c r="E144" s="34">
        <f>B140/H138</f>
        <v>686.4603175</v>
      </c>
    </row>
    <row r="145">
      <c r="A145" s="31" t="s">
        <v>47</v>
      </c>
      <c r="B145" s="62">
        <f>B144/B140*100</f>
        <v>49.00339908</v>
      </c>
      <c r="C145" s="3"/>
      <c r="D145" s="3"/>
      <c r="E145" s="3"/>
    </row>
    <row r="148">
      <c r="A148" s="1" t="s">
        <v>127</v>
      </c>
      <c r="B148" s="2" t="s">
        <v>78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S149" s="3"/>
      <c r="T149" s="3"/>
    </row>
    <row r="150">
      <c r="A150" s="38" t="s">
        <v>49</v>
      </c>
      <c r="B150" s="24" t="s">
        <v>3</v>
      </c>
      <c r="C150" s="24" t="s">
        <v>4</v>
      </c>
      <c r="D150" s="24" t="s">
        <v>5</v>
      </c>
      <c r="E150" s="39" t="s">
        <v>6</v>
      </c>
      <c r="F150" s="24" t="s">
        <v>7</v>
      </c>
      <c r="G150" s="24" t="s">
        <v>11</v>
      </c>
      <c r="H150" s="24" t="s">
        <v>12</v>
      </c>
      <c r="I150" s="3"/>
      <c r="J150" s="3"/>
      <c r="K150" s="3"/>
      <c r="L150" s="3"/>
    </row>
    <row r="151">
      <c r="A151" s="42" t="s">
        <v>21</v>
      </c>
      <c r="B151" s="43">
        <f>46233.226</f>
        <v>46233.226</v>
      </c>
      <c r="C151" s="44">
        <f t="shared" ref="C151:C165" si="60">G151</f>
        <v>16250</v>
      </c>
      <c r="D151" s="45">
        <f t="shared" ref="D151:D166" si="61">B151-C151</f>
        <v>29983.226</v>
      </c>
      <c r="E151" s="11">
        <f t="shared" ref="E151:E165" si="62">D151/B151*100</f>
        <v>64.85211739</v>
      </c>
      <c r="F151" s="46">
        <f t="shared" ref="F151:F165" si="63">D151/H151</f>
        <v>461.2804</v>
      </c>
      <c r="G151" s="14">
        <f>250*H151</f>
        <v>16250</v>
      </c>
      <c r="H151" s="48">
        <v>65.0</v>
      </c>
      <c r="I151" s="3"/>
      <c r="J151" s="3"/>
      <c r="K151" s="3"/>
      <c r="L151" s="3"/>
    </row>
    <row r="152">
      <c r="A152" s="42" t="s">
        <v>23</v>
      </c>
      <c r="B152" s="43">
        <f>14227.968</f>
        <v>14227.968</v>
      </c>
      <c r="C152" s="44">
        <f t="shared" si="60"/>
        <v>5250</v>
      </c>
      <c r="D152" s="45">
        <f t="shared" si="61"/>
        <v>8977.968</v>
      </c>
      <c r="E152" s="11">
        <f t="shared" si="62"/>
        <v>63.10084476</v>
      </c>
      <c r="F152" s="46">
        <f t="shared" si="63"/>
        <v>598.5312</v>
      </c>
      <c r="G152" s="14">
        <f>350*H152</f>
        <v>5250</v>
      </c>
      <c r="H152" s="48">
        <v>15.0</v>
      </c>
      <c r="I152" s="3"/>
      <c r="J152" s="3"/>
      <c r="K152" s="3"/>
      <c r="L152" s="3"/>
    </row>
    <row r="153">
      <c r="A153" s="42" t="s">
        <v>25</v>
      </c>
      <c r="B153" s="43">
        <f>10087.1946</f>
        <v>10087.1946</v>
      </c>
      <c r="C153" s="44">
        <f t="shared" si="60"/>
        <v>9000</v>
      </c>
      <c r="D153" s="45">
        <f t="shared" si="61"/>
        <v>1087.1946</v>
      </c>
      <c r="E153" s="11">
        <f t="shared" si="62"/>
        <v>10.77796794</v>
      </c>
      <c r="F153" s="46">
        <f t="shared" si="63"/>
        <v>108.71946</v>
      </c>
      <c r="G153" s="14">
        <f> 900*H153</f>
        <v>9000</v>
      </c>
      <c r="H153" s="48">
        <v>10.0</v>
      </c>
      <c r="I153" s="3"/>
      <c r="J153" s="3"/>
      <c r="K153" s="3"/>
      <c r="L153" s="3"/>
    </row>
    <row r="154">
      <c r="A154" s="42" t="s">
        <v>26</v>
      </c>
      <c r="B154" s="43">
        <f>7175.26</f>
        <v>7175.26</v>
      </c>
      <c r="C154" s="44">
        <f t="shared" si="60"/>
        <v>3740</v>
      </c>
      <c r="D154" s="45">
        <f t="shared" si="61"/>
        <v>3435.26</v>
      </c>
      <c r="E154" s="11">
        <f t="shared" si="62"/>
        <v>47.87645326</v>
      </c>
      <c r="F154" s="46">
        <f t="shared" si="63"/>
        <v>202.0741176</v>
      </c>
      <c r="G154" s="14">
        <f>220*H154</f>
        <v>3740</v>
      </c>
      <c r="H154" s="48">
        <v>17.0</v>
      </c>
      <c r="I154" s="3"/>
      <c r="J154" s="3"/>
      <c r="K154" s="3"/>
      <c r="L154" s="3"/>
    </row>
    <row r="155">
      <c r="A155" s="42" t="s">
        <v>28</v>
      </c>
      <c r="B155" s="43">
        <v>0.0</v>
      </c>
      <c r="C155" s="44">
        <f t="shared" si="60"/>
        <v>0</v>
      </c>
      <c r="D155" s="45">
        <f t="shared" si="61"/>
        <v>0</v>
      </c>
      <c r="E155" s="11" t="str">
        <f t="shared" si="62"/>
        <v>#DIV/0!</v>
      </c>
      <c r="F155" s="46" t="str">
        <f t="shared" si="63"/>
        <v>#DIV/0!</v>
      </c>
      <c r="G155" s="14">
        <f>250*H155</f>
        <v>0</v>
      </c>
      <c r="H155" s="48">
        <v>0.0</v>
      </c>
      <c r="I155" s="3"/>
      <c r="J155" s="3"/>
      <c r="K155" s="3"/>
      <c r="L155" s="3"/>
    </row>
    <row r="156">
      <c r="A156" s="42" t="s">
        <v>29</v>
      </c>
      <c r="B156" s="43">
        <v>0.0</v>
      </c>
      <c r="C156" s="44">
        <f t="shared" si="60"/>
        <v>0</v>
      </c>
      <c r="D156" s="45">
        <f t="shared" si="61"/>
        <v>0</v>
      </c>
      <c r="E156" s="11" t="str">
        <f t="shared" si="62"/>
        <v>#DIV/0!</v>
      </c>
      <c r="F156" s="46" t="str">
        <f t="shared" si="63"/>
        <v>#DIV/0!</v>
      </c>
      <c r="G156" s="14">
        <f>320*H156</f>
        <v>0</v>
      </c>
      <c r="H156" s="48">
        <v>0.0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42" t="s">
        <v>31</v>
      </c>
      <c r="B157" s="43">
        <f>3248.68</f>
        <v>3248.68</v>
      </c>
      <c r="C157" s="44">
        <f t="shared" si="60"/>
        <v>2000</v>
      </c>
      <c r="D157" s="45">
        <f t="shared" si="61"/>
        <v>1248.68</v>
      </c>
      <c r="E157" s="11">
        <f t="shared" si="62"/>
        <v>38.43653422</v>
      </c>
      <c r="F157" s="46">
        <f t="shared" si="63"/>
        <v>312.17</v>
      </c>
      <c r="G157" s="14">
        <f>500*H157</f>
        <v>2000</v>
      </c>
      <c r="H157" s="48">
        <v>4.0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42" t="s">
        <v>32</v>
      </c>
      <c r="B158" s="43">
        <v>0.0</v>
      </c>
      <c r="C158" s="44">
        <f t="shared" si="60"/>
        <v>0</v>
      </c>
      <c r="D158" s="45">
        <f t="shared" si="61"/>
        <v>0</v>
      </c>
      <c r="E158" s="11" t="str">
        <f t="shared" si="62"/>
        <v>#DIV/0!</v>
      </c>
      <c r="F158" s="46" t="str">
        <f t="shared" si="63"/>
        <v>#DIV/0!</v>
      </c>
      <c r="G158" s="14">
        <f>800*H158</f>
        <v>0</v>
      </c>
      <c r="H158" s="48">
        <v>0.0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42" t="s">
        <v>33</v>
      </c>
      <c r="B159" s="43">
        <f>34464.378</f>
        <v>34464.378</v>
      </c>
      <c r="C159" s="44">
        <f t="shared" si="60"/>
        <v>26000</v>
      </c>
      <c r="D159" s="45">
        <f t="shared" si="61"/>
        <v>8464.378</v>
      </c>
      <c r="E159" s="11">
        <f t="shared" si="62"/>
        <v>24.5597875</v>
      </c>
      <c r="F159" s="46">
        <f t="shared" si="63"/>
        <v>325.553</v>
      </c>
      <c r="G159" s="14">
        <f>1000*H159</f>
        <v>26000</v>
      </c>
      <c r="H159" s="48">
        <v>26.0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42" t="s">
        <v>54</v>
      </c>
      <c r="B160" s="43">
        <f>633.3296</f>
        <v>633.3296</v>
      </c>
      <c r="C160" s="44">
        <f t="shared" si="60"/>
        <v>200</v>
      </c>
      <c r="D160" s="45">
        <f t="shared" si="61"/>
        <v>433.3296</v>
      </c>
      <c r="E160" s="11">
        <f t="shared" si="62"/>
        <v>68.42086648</v>
      </c>
      <c r="F160" s="46">
        <f t="shared" si="63"/>
        <v>433.3296</v>
      </c>
      <c r="G160" s="14">
        <f>200*H160</f>
        <v>200</v>
      </c>
      <c r="H160" s="48">
        <v>1.0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T160" s="3"/>
    </row>
    <row r="161">
      <c r="A161" s="42" t="s">
        <v>55</v>
      </c>
      <c r="B161" s="43">
        <f>14619.138</f>
        <v>14619.138</v>
      </c>
      <c r="C161" s="44">
        <f t="shared" si="60"/>
        <v>7350</v>
      </c>
      <c r="D161" s="45">
        <f t="shared" si="61"/>
        <v>7269.138</v>
      </c>
      <c r="E161" s="11">
        <f t="shared" si="62"/>
        <v>49.72343787</v>
      </c>
      <c r="F161" s="46">
        <f t="shared" si="63"/>
        <v>484.6092</v>
      </c>
      <c r="G161" s="14">
        <f>(270+220)*H161</f>
        <v>7350</v>
      </c>
      <c r="H161" s="48">
        <v>15.0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2" t="s">
        <v>56</v>
      </c>
      <c r="B162" s="43">
        <f>4385.74</f>
        <v>4385.74</v>
      </c>
      <c r="C162" s="44">
        <f t="shared" si="60"/>
        <v>1860</v>
      </c>
      <c r="D162" s="45">
        <f t="shared" si="61"/>
        <v>2525.74</v>
      </c>
      <c r="E162" s="11">
        <f t="shared" si="62"/>
        <v>57.58982521</v>
      </c>
      <c r="F162" s="46">
        <f t="shared" si="63"/>
        <v>841.9133333</v>
      </c>
      <c r="G162" s="14">
        <f>(270+350)*H162</f>
        <v>1860</v>
      </c>
      <c r="H162" s="48">
        <v>3.0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42" t="s">
        <v>57</v>
      </c>
      <c r="B163" s="43">
        <v>0.0</v>
      </c>
      <c r="C163" s="44">
        <f t="shared" si="60"/>
        <v>0</v>
      </c>
      <c r="D163" s="45">
        <f t="shared" si="61"/>
        <v>0</v>
      </c>
      <c r="E163" s="11" t="str">
        <f t="shared" si="62"/>
        <v>#DIV/0!</v>
      </c>
      <c r="F163" s="46" t="str">
        <f t="shared" si="63"/>
        <v>#DIV/0!</v>
      </c>
      <c r="G163" s="14">
        <f>(270+320)*H163</f>
        <v>0</v>
      </c>
      <c r="H163" s="48">
        <v>0.0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42" t="s">
        <v>58</v>
      </c>
      <c r="B164" s="43">
        <f>14099.32</f>
        <v>14099.32</v>
      </c>
      <c r="C164" s="44">
        <f t="shared" si="60"/>
        <v>7980</v>
      </c>
      <c r="D164" s="45">
        <f t="shared" si="61"/>
        <v>6119.32</v>
      </c>
      <c r="E164" s="11">
        <f t="shared" si="62"/>
        <v>43.40152575</v>
      </c>
      <c r="F164" s="46">
        <f t="shared" si="63"/>
        <v>437.0942857</v>
      </c>
      <c r="G164" s="14">
        <f>(350+220)*H164</f>
        <v>7980</v>
      </c>
      <c r="H164" s="48">
        <v>14.0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42" t="s">
        <v>59</v>
      </c>
      <c r="B165" s="43">
        <v>0.0</v>
      </c>
      <c r="C165" s="44">
        <f t="shared" si="60"/>
        <v>0</v>
      </c>
      <c r="D165" s="45">
        <f t="shared" si="61"/>
        <v>0</v>
      </c>
      <c r="E165" s="11" t="str">
        <f t="shared" si="62"/>
        <v>#DIV/0!</v>
      </c>
      <c r="F165" s="46" t="str">
        <f t="shared" si="63"/>
        <v>#DIV/0!</v>
      </c>
      <c r="G165" s="14">
        <f>(350+320)*H165</f>
        <v>0</v>
      </c>
      <c r="H165" s="48">
        <v>0.0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 t="s">
        <v>38</v>
      </c>
      <c r="B166" s="32">
        <f>sum(B151:B165)</f>
        <v>149174.2342</v>
      </c>
      <c r="C166" s="41">
        <f>SUM(C151:C165)</f>
        <v>79630</v>
      </c>
      <c r="D166" s="41">
        <f t="shared" si="61"/>
        <v>69544.2342</v>
      </c>
      <c r="E166" s="3"/>
      <c r="F166" s="3"/>
      <c r="G166" s="41">
        <f t="shared" ref="G166:H166" si="64">SUM(G151:G165)</f>
        <v>79630</v>
      </c>
      <c r="H166" s="41">
        <f t="shared" si="64"/>
        <v>170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8">
      <c r="A168" s="31" t="s">
        <v>40</v>
      </c>
      <c r="B168" s="32">
        <f>B166</f>
        <v>149174.2342</v>
      </c>
      <c r="C168" s="3"/>
      <c r="D168" s="30"/>
      <c r="E168" s="3"/>
    </row>
    <row r="169">
      <c r="A169" s="31" t="s">
        <v>41</v>
      </c>
      <c r="B169" s="32">
        <f>D166</f>
        <v>69544.2342</v>
      </c>
      <c r="C169" s="3"/>
      <c r="D169" s="33" t="s">
        <v>41</v>
      </c>
      <c r="E169" s="34">
        <f>B169/H166</f>
        <v>409.0837306</v>
      </c>
    </row>
    <row r="170">
      <c r="A170" s="31" t="s">
        <v>74</v>
      </c>
      <c r="B170" s="32">
        <v>0.0</v>
      </c>
      <c r="C170" s="3"/>
      <c r="D170" s="33" t="s">
        <v>42</v>
      </c>
      <c r="E170" s="34">
        <f>B171</f>
        <v>0</v>
      </c>
    </row>
    <row r="171">
      <c r="A171" s="31" t="s">
        <v>75</v>
      </c>
      <c r="B171" s="32">
        <f>I165+J165</f>
        <v>0</v>
      </c>
      <c r="C171" s="3"/>
      <c r="D171" s="69" t="s">
        <v>43</v>
      </c>
      <c r="E171" s="34">
        <f>B170/H166</f>
        <v>0</v>
      </c>
    </row>
    <row r="172">
      <c r="A172" s="31" t="s">
        <v>62</v>
      </c>
      <c r="B172" s="32">
        <f>B168-SUM(B169:B171)</f>
        <v>79630</v>
      </c>
      <c r="C172" s="3"/>
      <c r="D172" s="33" t="s">
        <v>45</v>
      </c>
      <c r="E172" s="34">
        <f>B168/H166</f>
        <v>877.4954953</v>
      </c>
    </row>
    <row r="173">
      <c r="A173" s="31" t="s">
        <v>47</v>
      </c>
      <c r="B173" s="62">
        <f>B172/B168*100</f>
        <v>53.38053212</v>
      </c>
      <c r="C173" s="3"/>
      <c r="D173" s="3"/>
      <c r="E173" s="3"/>
    </row>
    <row r="178">
      <c r="A178" s="127">
        <v>45809.0</v>
      </c>
    </row>
    <row r="179">
      <c r="A179" s="127"/>
    </row>
    <row r="180">
      <c r="A180" s="71" t="s">
        <v>79</v>
      </c>
      <c r="B180" s="72">
        <f>B33+B69+B101+B121+B140+B166</f>
        <v>7181315.064</v>
      </c>
    </row>
    <row r="181">
      <c r="A181" s="74" t="s">
        <v>41</v>
      </c>
      <c r="B181" s="75">
        <f>B39+B70+B102+B122+B141+B169</f>
        <v>2870948.234</v>
      </c>
      <c r="E181" s="158"/>
      <c r="F181" s="168"/>
      <c r="G181" s="70"/>
      <c r="H181" s="129"/>
      <c r="I181" s="129"/>
      <c r="J181" s="129"/>
      <c r="K181" s="70"/>
    </row>
    <row r="182">
      <c r="A182" s="76" t="s">
        <v>80</v>
      </c>
      <c r="B182" s="77">
        <f>B180-B181</f>
        <v>4310366.83</v>
      </c>
      <c r="G182" s="70"/>
      <c r="H182" s="70"/>
      <c r="I182" s="169"/>
      <c r="J182" s="148"/>
      <c r="K182" s="70"/>
      <c r="L182" s="60" t="s">
        <v>78</v>
      </c>
      <c r="M182" s="128">
        <v>243280.8994</v>
      </c>
      <c r="N182" s="113">
        <v>3.441006321303063</v>
      </c>
    </row>
    <row r="183">
      <c r="A183" s="71" t="s">
        <v>81</v>
      </c>
      <c r="B183" s="78">
        <f>B182/B180</f>
        <v>0.6002197079</v>
      </c>
      <c r="F183" s="113"/>
      <c r="G183" s="70"/>
      <c r="H183" s="70"/>
      <c r="I183" s="169"/>
      <c r="J183" s="148"/>
      <c r="K183" s="70"/>
    </row>
    <row r="184">
      <c r="A184" s="76" t="s">
        <v>82</v>
      </c>
      <c r="B184" s="77">
        <f>B40+B71+B103+B123+B142+B72</f>
        <v>729340.09</v>
      </c>
      <c r="F184" s="113"/>
      <c r="G184" s="70"/>
      <c r="H184" s="70"/>
      <c r="I184" s="169"/>
      <c r="J184" s="148"/>
      <c r="K184" s="70"/>
      <c r="L184" s="128"/>
      <c r="M184" s="113">
        <v>3.441006321303063</v>
      </c>
    </row>
    <row r="185">
      <c r="A185" s="81" t="s">
        <v>83</v>
      </c>
      <c r="B185" s="82">
        <f>B41+B104+B124+B143+B73</f>
        <v>2500921.6</v>
      </c>
      <c r="F185" s="113"/>
      <c r="G185" s="70"/>
      <c r="H185" s="70"/>
      <c r="I185" s="169"/>
      <c r="J185" s="148"/>
      <c r="K185" s="70"/>
    </row>
    <row r="186">
      <c r="A186" s="81" t="s">
        <v>84</v>
      </c>
      <c r="B186" s="82">
        <f>B182-B184-B185</f>
        <v>1080105.14</v>
      </c>
      <c r="G186" s="70"/>
      <c r="H186" s="157"/>
      <c r="I186" s="170"/>
      <c r="J186" s="148"/>
      <c r="K186" s="70"/>
    </row>
    <row r="187">
      <c r="A187" s="71" t="s">
        <v>85</v>
      </c>
      <c r="B187" s="78">
        <f>B186/B180</f>
        <v>0.1504049231</v>
      </c>
      <c r="D187" s="70"/>
      <c r="E187" s="70"/>
      <c r="F187" s="70"/>
      <c r="G187" s="70"/>
      <c r="H187" s="70"/>
      <c r="I187" s="169"/>
      <c r="J187" s="148"/>
      <c r="K187" s="70"/>
    </row>
    <row r="188">
      <c r="A188" s="83" t="s">
        <v>86</v>
      </c>
      <c r="B188" s="84">
        <v>1000000.0</v>
      </c>
      <c r="D188" s="70"/>
      <c r="E188" s="70"/>
      <c r="F188" s="70"/>
      <c r="G188" s="70"/>
      <c r="H188" s="129"/>
      <c r="I188" s="129"/>
      <c r="J188" s="70"/>
      <c r="K188" s="70"/>
    </row>
    <row r="189">
      <c r="A189" s="85" t="s">
        <v>87</v>
      </c>
      <c r="B189" s="86">
        <f>B181+B184+B185+B188</f>
        <v>7101209.924</v>
      </c>
      <c r="D189" s="70"/>
      <c r="E189" s="129"/>
      <c r="F189" s="171"/>
      <c r="G189" s="129"/>
      <c r="H189" s="70"/>
      <c r="I189" s="70"/>
      <c r="J189" s="70"/>
      <c r="K189" s="70"/>
    </row>
    <row r="190">
      <c r="A190" s="87" t="s">
        <v>88</v>
      </c>
      <c r="B190" s="88">
        <f>B180-B189</f>
        <v>80105.14</v>
      </c>
      <c r="D190" s="70"/>
      <c r="E190" s="70"/>
      <c r="F190" s="172"/>
      <c r="G190" s="70"/>
      <c r="H190" s="70"/>
      <c r="I190" s="70"/>
      <c r="J190" s="70"/>
      <c r="K190" s="70"/>
    </row>
    <row r="191">
      <c r="A191" s="71" t="s">
        <v>89</v>
      </c>
      <c r="B191" s="89">
        <f>B190/B180</f>
        <v>0.01115466169</v>
      </c>
      <c r="D191" s="70"/>
      <c r="E191" s="70"/>
      <c r="F191" s="172"/>
      <c r="G191" s="70"/>
      <c r="H191" s="70"/>
      <c r="I191" s="70"/>
      <c r="J191" s="70"/>
      <c r="K191" s="70"/>
    </row>
    <row r="192">
      <c r="D192" s="70"/>
      <c r="E192" s="70"/>
      <c r="F192" s="172"/>
      <c r="G192" s="70"/>
      <c r="H192" s="70"/>
      <c r="I192" s="70"/>
      <c r="J192" s="70"/>
      <c r="K192" s="70"/>
    </row>
    <row r="193">
      <c r="D193" s="70"/>
      <c r="E193" s="70"/>
      <c r="F193" s="172"/>
      <c r="G193" s="70"/>
      <c r="H193" s="70"/>
    </row>
    <row r="194">
      <c r="D194" s="70"/>
      <c r="E194" s="129"/>
      <c r="F194" s="173"/>
      <c r="G194" s="129"/>
      <c r="H194" s="70"/>
    </row>
    <row r="195">
      <c r="D195" s="70"/>
      <c r="E195" s="70"/>
      <c r="F195" s="70"/>
      <c r="G195" s="70"/>
      <c r="H195" s="70"/>
    </row>
    <row r="196">
      <c r="D196" s="70"/>
      <c r="E196" s="70"/>
      <c r="F196" s="70"/>
      <c r="G196" s="70"/>
      <c r="H196" s="70"/>
    </row>
    <row r="197">
      <c r="D197" s="70"/>
      <c r="E197" s="70"/>
      <c r="F197" s="70"/>
      <c r="G197" s="70"/>
      <c r="H197" s="70"/>
    </row>
    <row r="198">
      <c r="A198" s="139">
        <v>45809.0</v>
      </c>
      <c r="D198" s="70"/>
      <c r="E198" s="70"/>
      <c r="F198" s="70"/>
      <c r="G198" s="70"/>
      <c r="H198" s="70"/>
    </row>
    <row r="199">
      <c r="A199" s="140" t="s">
        <v>122</v>
      </c>
      <c r="B199" s="140" t="s">
        <v>123</v>
      </c>
      <c r="C199" s="141" t="s">
        <v>124</v>
      </c>
    </row>
    <row r="200">
      <c r="A200" s="142" t="s">
        <v>125</v>
      </c>
      <c r="B200" s="143">
        <f>B38</f>
        <v>4707817</v>
      </c>
      <c r="C200" s="144">
        <f t="shared" ref="C200:C205" si="65">B200/$B$206</f>
        <v>0.6555647479</v>
      </c>
    </row>
    <row r="201">
      <c r="A201" s="142" t="s">
        <v>48</v>
      </c>
      <c r="B201" s="143">
        <f>B69</f>
        <v>1920666.83</v>
      </c>
      <c r="C201" s="144">
        <f t="shared" si="65"/>
        <v>0.2674533582</v>
      </c>
    </row>
    <row r="202">
      <c r="A202" s="142" t="s">
        <v>78</v>
      </c>
      <c r="B202" s="143">
        <f>B166</f>
        <v>149174.2342</v>
      </c>
      <c r="C202" s="144">
        <f t="shared" si="65"/>
        <v>0.02077255111</v>
      </c>
    </row>
    <row r="203">
      <c r="A203" s="142" t="s">
        <v>70</v>
      </c>
      <c r="B203" s="143">
        <f>B121</f>
        <v>192129</v>
      </c>
      <c r="C203" s="144">
        <f t="shared" si="65"/>
        <v>0.02675401348</v>
      </c>
    </row>
    <row r="204">
      <c r="A204" s="142" t="s">
        <v>64</v>
      </c>
      <c r="B204" s="143">
        <f>B101</f>
        <v>125034</v>
      </c>
      <c r="C204" s="144">
        <f t="shared" si="65"/>
        <v>0.01741101719</v>
      </c>
    </row>
    <row r="205">
      <c r="A205" s="142" t="s">
        <v>76</v>
      </c>
      <c r="B205" s="143">
        <f>B140</f>
        <v>86494</v>
      </c>
      <c r="C205" s="144">
        <f t="shared" si="65"/>
        <v>0.01204431211</v>
      </c>
      <c r="F205" s="60" t="s">
        <v>21</v>
      </c>
      <c r="G205" s="60">
        <f>B4+B49+B85+B114+B135+B151</f>
        <v>1339823.266</v>
      </c>
    </row>
    <row r="206">
      <c r="A206" s="145" t="s">
        <v>38</v>
      </c>
      <c r="B206" s="146">
        <f>SUM(B200:B205)</f>
        <v>7181315.064</v>
      </c>
      <c r="C206" s="145">
        <v>100.0</v>
      </c>
      <c r="F206" s="60" t="s">
        <v>23</v>
      </c>
      <c r="G206" s="60">
        <f>B6+B50+B86+B116+B137+B152</f>
        <v>800257.998</v>
      </c>
    </row>
    <row r="207">
      <c r="F207" s="60" t="s">
        <v>25</v>
      </c>
      <c r="G207" s="60">
        <f>B8+B51+B87+B153</f>
        <v>589951.8946</v>
      </c>
    </row>
    <row r="208">
      <c r="F208" s="60" t="s">
        <v>26</v>
      </c>
      <c r="G208" s="60">
        <f>B9+B52+B88+B115+B136+B154</f>
        <v>462706.09</v>
      </c>
    </row>
    <row r="209">
      <c r="F209" s="60" t="s">
        <v>28</v>
      </c>
      <c r="G209" s="60">
        <f>B11+B53+B89+B156</f>
        <v>0</v>
      </c>
    </row>
    <row r="210">
      <c r="F210" s="60" t="s">
        <v>29</v>
      </c>
      <c r="G210" s="60">
        <f>B12+B54+B90+B117+B156</f>
        <v>378823.29</v>
      </c>
    </row>
    <row r="211">
      <c r="A211" s="90" t="s">
        <v>90</v>
      </c>
      <c r="B211" s="91">
        <v>45802.0</v>
      </c>
      <c r="C211" s="70"/>
      <c r="D211" s="70"/>
      <c r="F211" s="60" t="s">
        <v>31</v>
      </c>
      <c r="G211" s="60">
        <f>B14+B55+B91+B157</f>
        <v>134501.73</v>
      </c>
    </row>
    <row r="212">
      <c r="A212" s="92" t="s">
        <v>91</v>
      </c>
      <c r="B212" s="93">
        <f>SUM(B213:B219)</f>
        <v>6694</v>
      </c>
      <c r="C212" s="70"/>
      <c r="D212" s="70"/>
      <c r="F212" s="60" t="s">
        <v>32</v>
      </c>
      <c r="G212" s="60">
        <f>B15+B56+B158</f>
        <v>0</v>
      </c>
    </row>
    <row r="213">
      <c r="A213" s="28" t="s">
        <v>92</v>
      </c>
      <c r="B213" s="27">
        <f>K33</f>
        <v>3850</v>
      </c>
      <c r="C213" s="70"/>
      <c r="D213" s="70"/>
      <c r="F213" s="60" t="s">
        <v>33</v>
      </c>
      <c r="G213" s="60">
        <f>B16+B57+B93+B159</f>
        <v>1793011.428</v>
      </c>
    </row>
    <row r="214">
      <c r="A214" s="28" t="s">
        <v>48</v>
      </c>
      <c r="B214" s="27">
        <f>I66</f>
        <v>2075</v>
      </c>
      <c r="C214" s="129"/>
      <c r="D214" s="70"/>
      <c r="F214" s="60" t="s">
        <v>54</v>
      </c>
      <c r="G214" s="60">
        <f>B19+B20+B21+B58+B64+B160</f>
        <v>342207.6696</v>
      </c>
    </row>
    <row r="215">
      <c r="A215" s="28" t="s">
        <v>64</v>
      </c>
      <c r="B215" s="27">
        <f>I98</f>
        <v>168</v>
      </c>
      <c r="C215" s="148"/>
      <c r="D215" s="70"/>
      <c r="F215" s="60" t="s">
        <v>93</v>
      </c>
      <c r="G215" s="60">
        <f>B5+B7+B10+B13+B17+B22+B23+B24+B25+B26+B27+B28+B29+B30+B31+B32+B59+B60+B61+B62+B63+B64+B65+B94+B95+B96+B97+B161+B162+B163+B164+B165</f>
        <v>965890.558</v>
      </c>
    </row>
    <row r="216">
      <c r="A216" s="28" t="s">
        <v>70</v>
      </c>
      <c r="B216" s="27">
        <f>H118</f>
        <v>305</v>
      </c>
      <c r="C216" s="148"/>
      <c r="D216" s="70"/>
      <c r="F216" s="60" t="s">
        <v>131</v>
      </c>
      <c r="G216" s="60">
        <f>B65+B18</f>
        <v>615545.79</v>
      </c>
    </row>
    <row r="217">
      <c r="A217" s="28" t="s">
        <v>76</v>
      </c>
      <c r="B217" s="27">
        <f>H138</f>
        <v>126</v>
      </c>
      <c r="C217" s="148"/>
      <c r="D217" s="70"/>
      <c r="F217" s="60" t="s">
        <v>94</v>
      </c>
      <c r="G217" s="60">
        <f>B92</f>
        <v>614</v>
      </c>
    </row>
    <row r="218">
      <c r="A218" s="28" t="s">
        <v>95</v>
      </c>
      <c r="B218" s="27">
        <f>H166</f>
        <v>170</v>
      </c>
      <c r="C218" s="148"/>
      <c r="D218" s="70"/>
    </row>
    <row r="219">
      <c r="A219" s="28" t="s">
        <v>96</v>
      </c>
      <c r="B219" s="28"/>
      <c r="C219" s="148"/>
      <c r="D219" s="70"/>
    </row>
    <row r="220">
      <c r="A220" s="92" t="s">
        <v>97</v>
      </c>
      <c r="B220" s="94">
        <f>SUM(B221:B227)</f>
        <v>7181315.064</v>
      </c>
      <c r="C220" s="148"/>
      <c r="D220" s="70"/>
    </row>
    <row r="221">
      <c r="A221" s="28" t="s">
        <v>92</v>
      </c>
      <c r="B221" s="95">
        <f>B38</f>
        <v>4707817</v>
      </c>
      <c r="C221" s="148"/>
      <c r="D221" s="70"/>
    </row>
    <row r="222">
      <c r="A222" s="28" t="s">
        <v>48</v>
      </c>
      <c r="B222" s="95">
        <f>B69</f>
        <v>1920666.83</v>
      </c>
      <c r="C222" s="148"/>
      <c r="D222" s="70"/>
    </row>
    <row r="223">
      <c r="A223" s="28" t="s">
        <v>64</v>
      </c>
      <c r="B223" s="95">
        <f>B101</f>
        <v>125034</v>
      </c>
      <c r="C223" s="149"/>
      <c r="D223" s="70"/>
    </row>
    <row r="224">
      <c r="A224" s="28" t="s">
        <v>70</v>
      </c>
      <c r="B224" s="95">
        <f>B118</f>
        <v>192129</v>
      </c>
      <c r="C224" s="70"/>
      <c r="D224" s="70"/>
    </row>
    <row r="225">
      <c r="A225" s="28" t="s">
        <v>76</v>
      </c>
      <c r="B225" s="95">
        <f>B138</f>
        <v>86494</v>
      </c>
      <c r="C225" s="70"/>
      <c r="D225" s="70"/>
    </row>
    <row r="226">
      <c r="A226" s="28" t="s">
        <v>95</v>
      </c>
      <c r="B226" s="95">
        <f>B168</f>
        <v>149174.2342</v>
      </c>
      <c r="C226" s="70"/>
      <c r="D226" s="70"/>
    </row>
    <row r="227">
      <c r="A227" s="28" t="s">
        <v>96</v>
      </c>
      <c r="B227" s="95"/>
      <c r="C227" s="70"/>
      <c r="D227" s="70"/>
    </row>
    <row r="228">
      <c r="A228" s="92" t="s">
        <v>98</v>
      </c>
      <c r="B228" s="94">
        <f>SUM(B229:B235)</f>
        <v>6411888.45</v>
      </c>
    </row>
    <row r="229">
      <c r="A229" s="28" t="s">
        <v>92</v>
      </c>
      <c r="B229" s="95">
        <f t="shared" ref="B229:B234" si="66">B221/1.12</f>
        <v>4203408.036</v>
      </c>
    </row>
    <row r="230">
      <c r="A230" s="28" t="s">
        <v>48</v>
      </c>
      <c r="B230" s="95">
        <f t="shared" si="66"/>
        <v>1714881.098</v>
      </c>
    </row>
    <row r="231">
      <c r="A231" s="28" t="s">
        <v>64</v>
      </c>
      <c r="B231" s="95">
        <f t="shared" si="66"/>
        <v>111637.5</v>
      </c>
    </row>
    <row r="232">
      <c r="A232" s="28" t="s">
        <v>70</v>
      </c>
      <c r="B232" s="95">
        <f t="shared" si="66"/>
        <v>171543.75</v>
      </c>
    </row>
    <row r="233">
      <c r="A233" s="28" t="s">
        <v>76</v>
      </c>
      <c r="B233" s="95">
        <f t="shared" si="66"/>
        <v>77226.78571</v>
      </c>
    </row>
    <row r="234">
      <c r="A234" s="28" t="s">
        <v>95</v>
      </c>
      <c r="B234" s="95">
        <f t="shared" si="66"/>
        <v>133191.2805</v>
      </c>
    </row>
    <row r="235">
      <c r="A235" s="28" t="s">
        <v>96</v>
      </c>
      <c r="B235" s="28"/>
    </row>
    <row r="236">
      <c r="A236" s="90" t="s">
        <v>41</v>
      </c>
      <c r="B236" s="96">
        <f>B181/1.18</f>
        <v>2433006.978</v>
      </c>
    </row>
    <row r="237">
      <c r="A237" s="90" t="s">
        <v>80</v>
      </c>
      <c r="B237" s="97">
        <f>B228-B236</f>
        <v>3978881.472</v>
      </c>
    </row>
    <row r="238">
      <c r="A238" s="92" t="s">
        <v>99</v>
      </c>
      <c r="B238" s="98">
        <f>B237/B228</f>
        <v>0.6205475193</v>
      </c>
    </row>
    <row r="239">
      <c r="A239" s="99" t="s">
        <v>100</v>
      </c>
      <c r="B239" s="100">
        <f>B40+B72+B123+B142</f>
        <v>613867</v>
      </c>
    </row>
    <row r="240">
      <c r="A240" s="99" t="s">
        <v>101</v>
      </c>
      <c r="B240" s="100">
        <f>B71</f>
        <v>103750</v>
      </c>
    </row>
    <row r="241">
      <c r="A241" s="101" t="s">
        <v>102</v>
      </c>
      <c r="B241" s="95">
        <f>B237-(B239+B240)</f>
        <v>3261264.472</v>
      </c>
    </row>
    <row r="242">
      <c r="A242" s="92" t="s">
        <v>103</v>
      </c>
      <c r="B242" s="98">
        <f>B241/B228</f>
        <v>0.5086277619</v>
      </c>
    </row>
    <row r="243">
      <c r="A243" s="28" t="s">
        <v>104</v>
      </c>
      <c r="B243" s="95">
        <f>B185/1.18</f>
        <v>2119425.085</v>
      </c>
    </row>
    <row r="244">
      <c r="A244" s="101" t="s">
        <v>105</v>
      </c>
      <c r="B244" s="95">
        <f>B241-B243</f>
        <v>1141839.387</v>
      </c>
    </row>
    <row r="245">
      <c r="A245" s="92" t="s">
        <v>106</v>
      </c>
      <c r="B245" s="102">
        <f>B244/B228</f>
        <v>0.1780816052</v>
      </c>
    </row>
    <row r="246">
      <c r="A246" s="28" t="s">
        <v>107</v>
      </c>
      <c r="B246" s="28">
        <v>550000.0</v>
      </c>
    </row>
    <row r="247">
      <c r="A247" s="28" t="s">
        <v>108</v>
      </c>
      <c r="B247" s="28">
        <v>350000.0</v>
      </c>
    </row>
    <row r="248">
      <c r="A248" s="28" t="s">
        <v>109</v>
      </c>
      <c r="B248" s="28">
        <v>70000.0</v>
      </c>
    </row>
    <row r="249">
      <c r="A249" s="28" t="s">
        <v>110</v>
      </c>
      <c r="B249" s="28">
        <v>18000.0</v>
      </c>
    </row>
    <row r="250">
      <c r="A250" s="28" t="s">
        <v>111</v>
      </c>
      <c r="B250" s="28">
        <v>45000.0</v>
      </c>
    </row>
    <row r="251">
      <c r="A251" s="101" t="s">
        <v>112</v>
      </c>
      <c r="B251" s="95">
        <f>B244-SUM(B246:B250)</f>
        <v>108839.3873</v>
      </c>
    </row>
    <row r="252">
      <c r="A252" s="92" t="s">
        <v>113</v>
      </c>
      <c r="B252" s="102">
        <f>B251/B228</f>
        <v>0.01697462271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0.0"/>
    <col customWidth="1" min="3" max="3" width="13.13"/>
    <col customWidth="1" min="5" max="5" width="12.88"/>
    <col customWidth="1" min="9" max="9" width="14.63"/>
    <col customWidth="1" min="14" max="14" width="13.75"/>
    <col customWidth="1" min="16" max="16" width="15.13"/>
    <col customWidth="1" min="17" max="17" width="11.38"/>
  </cols>
  <sheetData>
    <row r="1">
      <c r="A1" s="1" t="s">
        <v>144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>
      <c r="A3" s="5" t="s">
        <v>2</v>
      </c>
      <c r="B3" s="6" t="s">
        <v>128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</row>
    <row r="4">
      <c r="A4" s="5" t="s">
        <v>21</v>
      </c>
      <c r="B4" s="174">
        <v>974085.05</v>
      </c>
      <c r="C4" s="9">
        <f t="shared" ref="C4:C10" si="1">G4+J4+L4</f>
        <v>530084</v>
      </c>
      <c r="D4" s="175">
        <f t="shared" ref="D4:D10" si="2">B4-C4</f>
        <v>444001.05</v>
      </c>
      <c r="E4" s="11">
        <f t="shared" ref="E4:E33" si="3">D4/B4*100</f>
        <v>45.58134323</v>
      </c>
      <c r="F4" s="12">
        <f t="shared" ref="F4:F10" si="4">D4/K4</f>
        <v>264.4437463</v>
      </c>
      <c r="G4" s="13"/>
      <c r="H4" s="8">
        <v>1739.0</v>
      </c>
      <c r="I4" s="8">
        <v>1728.0</v>
      </c>
      <c r="J4" s="14">
        <f t="shared" ref="J4:J10" si="5">K4*T4</f>
        <v>369380</v>
      </c>
      <c r="K4" s="8">
        <v>1679.0</v>
      </c>
      <c r="L4" s="15">
        <f t="shared" ref="L4:L33" si="6">I4*93</f>
        <v>160704</v>
      </c>
      <c r="M4" s="16">
        <f t="shared" ref="M4:M33" si="7">I4-K4-N4</f>
        <v>44</v>
      </c>
      <c r="N4" s="8">
        <v>5.0</v>
      </c>
      <c r="O4" s="17">
        <f t="shared" ref="O4:O10" si="8">M4/I4*100</f>
        <v>2.546296296</v>
      </c>
      <c r="P4" s="18">
        <f t="shared" ref="P4:P10" si="9">I4/H4*100</f>
        <v>99.36745256</v>
      </c>
      <c r="Q4" s="19">
        <f t="shared" ref="Q4:Q10" si="10">K4/I4*100</f>
        <v>97.16435185</v>
      </c>
      <c r="R4" s="12">
        <f t="shared" ref="R4:R10" si="11">G4/K4</f>
        <v>0</v>
      </c>
      <c r="S4" s="12">
        <f>100-P4</f>
        <v>0.6325474411</v>
      </c>
      <c r="T4" s="65">
        <v>220.0</v>
      </c>
      <c r="U4" s="3"/>
      <c r="V4" s="3"/>
      <c r="W4" s="150" t="s">
        <v>2</v>
      </c>
      <c r="X4" s="24" t="s">
        <v>145</v>
      </c>
      <c r="Y4" s="3"/>
      <c r="Z4" s="3"/>
    </row>
    <row r="5">
      <c r="A5" s="5" t="s">
        <v>22</v>
      </c>
      <c r="B5" s="174">
        <v>72563.57</v>
      </c>
      <c r="C5" s="9">
        <f t="shared" si="1"/>
        <v>27462</v>
      </c>
      <c r="D5" s="175">
        <f t="shared" si="2"/>
        <v>45101.57</v>
      </c>
      <c r="E5" s="11">
        <f t="shared" si="3"/>
        <v>62.15456323</v>
      </c>
      <c r="F5" s="12">
        <f t="shared" si="4"/>
        <v>884.3445098</v>
      </c>
      <c r="G5" s="13"/>
      <c r="H5" s="8">
        <v>54.0</v>
      </c>
      <c r="I5" s="8">
        <v>54.0</v>
      </c>
      <c r="J5" s="14">
        <f t="shared" si="5"/>
        <v>22440</v>
      </c>
      <c r="K5" s="8">
        <v>51.0</v>
      </c>
      <c r="L5" s="15">
        <f t="shared" si="6"/>
        <v>5022</v>
      </c>
      <c r="M5" s="16">
        <f t="shared" si="7"/>
        <v>3</v>
      </c>
      <c r="N5" s="13"/>
      <c r="O5" s="17">
        <f t="shared" si="8"/>
        <v>5.555555556</v>
      </c>
      <c r="P5" s="18">
        <f t="shared" si="9"/>
        <v>100</v>
      </c>
      <c r="Q5" s="19">
        <f t="shared" si="10"/>
        <v>94.44444444</v>
      </c>
      <c r="R5" s="12">
        <f t="shared" si="11"/>
        <v>0</v>
      </c>
      <c r="S5" s="12"/>
      <c r="T5" s="65">
        <v>440.0</v>
      </c>
      <c r="U5" s="3"/>
      <c r="V5" s="3"/>
      <c r="W5" s="151" t="s">
        <v>21</v>
      </c>
      <c r="X5" s="65">
        <v>220.0</v>
      </c>
      <c r="Y5" s="3"/>
      <c r="Z5" s="3"/>
    </row>
    <row r="6">
      <c r="A6" s="5" t="s">
        <v>23</v>
      </c>
      <c r="B6" s="174">
        <v>1021573.81</v>
      </c>
      <c r="C6" s="21">
        <f t="shared" si="1"/>
        <v>360620</v>
      </c>
      <c r="D6" s="22">
        <f t="shared" si="2"/>
        <v>660953.81</v>
      </c>
      <c r="E6" s="11">
        <f t="shared" si="3"/>
        <v>64.69956488</v>
      </c>
      <c r="F6" s="12">
        <f t="shared" si="4"/>
        <v>747.6853054</v>
      </c>
      <c r="G6" s="23"/>
      <c r="H6" s="8">
        <v>996.0</v>
      </c>
      <c r="I6" s="8">
        <v>988.0</v>
      </c>
      <c r="J6" s="14">
        <f t="shared" si="5"/>
        <v>268736</v>
      </c>
      <c r="K6" s="8">
        <v>884.0</v>
      </c>
      <c r="L6" s="15">
        <f t="shared" si="6"/>
        <v>91884</v>
      </c>
      <c r="M6" s="16">
        <f t="shared" si="7"/>
        <v>96</v>
      </c>
      <c r="N6" s="8">
        <v>8.0</v>
      </c>
      <c r="O6" s="17">
        <f t="shared" si="8"/>
        <v>9.71659919</v>
      </c>
      <c r="P6" s="18">
        <f t="shared" si="9"/>
        <v>99.19678715</v>
      </c>
      <c r="Q6" s="19">
        <f t="shared" si="10"/>
        <v>89.47368421</v>
      </c>
      <c r="R6" s="12">
        <f t="shared" si="11"/>
        <v>0</v>
      </c>
      <c r="S6" s="12">
        <f>100-P6</f>
        <v>0.8032128514</v>
      </c>
      <c r="T6" s="65">
        <v>304.0</v>
      </c>
      <c r="U6" s="3"/>
      <c r="V6" s="3"/>
      <c r="W6" s="151" t="s">
        <v>23</v>
      </c>
      <c r="X6" s="65">
        <v>304.0</v>
      </c>
      <c r="Y6" s="3"/>
      <c r="Z6" s="3"/>
    </row>
    <row r="7">
      <c r="A7" s="5" t="s">
        <v>24</v>
      </c>
      <c r="B7" s="174">
        <v>62226.26</v>
      </c>
      <c r="C7" s="21">
        <f t="shared" si="1"/>
        <v>20422</v>
      </c>
      <c r="D7" s="22">
        <f t="shared" si="2"/>
        <v>41804.26</v>
      </c>
      <c r="E7" s="11">
        <f t="shared" si="3"/>
        <v>67.18105829</v>
      </c>
      <c r="F7" s="12">
        <f t="shared" si="4"/>
        <v>1441.526207</v>
      </c>
      <c r="G7" s="23"/>
      <c r="H7" s="8">
        <v>30.0</v>
      </c>
      <c r="I7" s="8">
        <v>30.0</v>
      </c>
      <c r="J7" s="14">
        <f t="shared" si="5"/>
        <v>17632</v>
      </c>
      <c r="K7" s="8">
        <v>29.0</v>
      </c>
      <c r="L7" s="15">
        <f t="shared" si="6"/>
        <v>2790</v>
      </c>
      <c r="M7" s="16">
        <f t="shared" si="7"/>
        <v>1</v>
      </c>
      <c r="N7" s="13"/>
      <c r="O7" s="17">
        <f t="shared" si="8"/>
        <v>3.333333333</v>
      </c>
      <c r="P7" s="18">
        <f t="shared" si="9"/>
        <v>100</v>
      </c>
      <c r="Q7" s="19">
        <f t="shared" si="10"/>
        <v>96.66666667</v>
      </c>
      <c r="R7" s="12">
        <f t="shared" si="11"/>
        <v>0</v>
      </c>
      <c r="S7" s="12"/>
      <c r="T7" s="65">
        <v>608.0</v>
      </c>
      <c r="U7" s="3"/>
      <c r="V7" s="3"/>
      <c r="W7" s="151" t="s">
        <v>25</v>
      </c>
      <c r="X7" s="65">
        <v>662.0</v>
      </c>
      <c r="Y7" s="3"/>
      <c r="Z7" s="3"/>
    </row>
    <row r="8">
      <c r="A8" s="5" t="s">
        <v>25</v>
      </c>
      <c r="B8" s="174">
        <v>335622.39</v>
      </c>
      <c r="C8" s="9">
        <f t="shared" si="1"/>
        <v>186846</v>
      </c>
      <c r="D8" s="175">
        <f t="shared" si="2"/>
        <v>148776.39</v>
      </c>
      <c r="E8" s="11">
        <f t="shared" si="3"/>
        <v>44.32850562</v>
      </c>
      <c r="F8" s="12">
        <f t="shared" si="4"/>
        <v>604.7820732</v>
      </c>
      <c r="G8" s="13"/>
      <c r="H8" s="8">
        <v>265.0</v>
      </c>
      <c r="I8" s="8">
        <v>258.0</v>
      </c>
      <c r="J8" s="14">
        <f t="shared" si="5"/>
        <v>162852</v>
      </c>
      <c r="K8" s="8">
        <v>246.0</v>
      </c>
      <c r="L8" s="15">
        <f t="shared" si="6"/>
        <v>23994</v>
      </c>
      <c r="M8" s="16">
        <f t="shared" si="7"/>
        <v>12</v>
      </c>
      <c r="N8" s="13"/>
      <c r="O8" s="17">
        <f t="shared" si="8"/>
        <v>4.651162791</v>
      </c>
      <c r="P8" s="18">
        <f t="shared" si="9"/>
        <v>97.35849057</v>
      </c>
      <c r="Q8" s="19">
        <f t="shared" si="10"/>
        <v>95.34883721</v>
      </c>
      <c r="R8" s="12">
        <f t="shared" si="11"/>
        <v>0</v>
      </c>
      <c r="S8" s="12">
        <f t="shared" ref="S8:S9" si="12">100-P8</f>
        <v>2.641509434</v>
      </c>
      <c r="T8" s="65">
        <v>662.0</v>
      </c>
      <c r="U8" s="3"/>
      <c r="V8" s="3"/>
      <c r="W8" s="151" t="s">
        <v>26</v>
      </c>
      <c r="X8" s="65">
        <v>184.0</v>
      </c>
      <c r="Y8" s="3"/>
      <c r="Z8" s="3"/>
    </row>
    <row r="9">
      <c r="A9" s="5" t="s">
        <v>26</v>
      </c>
      <c r="B9" s="174">
        <v>59048.48</v>
      </c>
      <c r="C9" s="9">
        <f t="shared" si="1"/>
        <v>31214</v>
      </c>
      <c r="D9" s="175">
        <f t="shared" si="2"/>
        <v>27834.48</v>
      </c>
      <c r="E9" s="11">
        <f t="shared" si="3"/>
        <v>47.1383514</v>
      </c>
      <c r="F9" s="12">
        <f t="shared" si="4"/>
        <v>253.0407273</v>
      </c>
      <c r="G9" s="13"/>
      <c r="H9" s="8">
        <v>124.0</v>
      </c>
      <c r="I9" s="8">
        <v>118.0</v>
      </c>
      <c r="J9" s="14">
        <f t="shared" si="5"/>
        <v>20240</v>
      </c>
      <c r="K9" s="8">
        <v>110.0</v>
      </c>
      <c r="L9" s="15">
        <f t="shared" si="6"/>
        <v>10974</v>
      </c>
      <c r="M9" s="16">
        <f t="shared" si="7"/>
        <v>7</v>
      </c>
      <c r="N9" s="8">
        <v>1.0</v>
      </c>
      <c r="O9" s="17">
        <f t="shared" si="8"/>
        <v>5.93220339</v>
      </c>
      <c r="P9" s="18">
        <f t="shared" si="9"/>
        <v>95.16129032</v>
      </c>
      <c r="Q9" s="19">
        <f t="shared" si="10"/>
        <v>93.22033898</v>
      </c>
      <c r="R9" s="12">
        <f t="shared" si="11"/>
        <v>0</v>
      </c>
      <c r="S9" s="12">
        <f t="shared" si="12"/>
        <v>4.838709677</v>
      </c>
      <c r="T9" s="65">
        <v>184.0</v>
      </c>
      <c r="U9" s="3"/>
      <c r="V9" s="3"/>
      <c r="W9" s="151" t="s">
        <v>28</v>
      </c>
      <c r="X9" s="65">
        <v>206.0</v>
      </c>
      <c r="Y9" s="3"/>
      <c r="Z9" s="3"/>
    </row>
    <row r="10">
      <c r="A10" s="5" t="s">
        <v>27</v>
      </c>
      <c r="B10" s="174">
        <v>10547.63</v>
      </c>
      <c r="C10" s="9">
        <f t="shared" si="1"/>
        <v>5625</v>
      </c>
      <c r="D10" s="175">
        <f t="shared" si="2"/>
        <v>4922.63</v>
      </c>
      <c r="E10" s="11">
        <f t="shared" si="3"/>
        <v>46.67048427</v>
      </c>
      <c r="F10" s="12">
        <f t="shared" si="4"/>
        <v>410.2191667</v>
      </c>
      <c r="G10" s="13"/>
      <c r="H10" s="8">
        <v>13.0</v>
      </c>
      <c r="I10" s="8">
        <v>13.0</v>
      </c>
      <c r="J10" s="14">
        <f t="shared" si="5"/>
        <v>4416</v>
      </c>
      <c r="K10" s="8">
        <v>12.0</v>
      </c>
      <c r="L10" s="15">
        <f t="shared" si="6"/>
        <v>1209</v>
      </c>
      <c r="M10" s="16">
        <f t="shared" si="7"/>
        <v>1</v>
      </c>
      <c r="N10" s="13"/>
      <c r="O10" s="17">
        <f t="shared" si="8"/>
        <v>7.692307692</v>
      </c>
      <c r="P10" s="18">
        <f t="shared" si="9"/>
        <v>100</v>
      </c>
      <c r="Q10" s="19">
        <f t="shared" si="10"/>
        <v>92.30769231</v>
      </c>
      <c r="R10" s="12">
        <f t="shared" si="11"/>
        <v>0</v>
      </c>
      <c r="S10" s="12"/>
      <c r="T10" s="65">
        <v>368.0</v>
      </c>
      <c r="U10" s="3"/>
      <c r="V10" s="3"/>
      <c r="W10" s="151" t="s">
        <v>29</v>
      </c>
      <c r="X10" s="65">
        <v>308.0</v>
      </c>
      <c r="Y10" s="3"/>
      <c r="Z10" s="3"/>
    </row>
    <row r="11">
      <c r="A11" s="5" t="s">
        <v>28</v>
      </c>
      <c r="B11" s="174">
        <v>0.0</v>
      </c>
      <c r="C11" s="9">
        <v>0.0</v>
      </c>
      <c r="D11" s="10">
        <v>0.0</v>
      </c>
      <c r="E11" s="11" t="str">
        <f t="shared" si="3"/>
        <v>#DIV/0!</v>
      </c>
      <c r="F11" s="12">
        <v>0.0</v>
      </c>
      <c r="G11" s="13"/>
      <c r="H11" s="8">
        <v>0.0</v>
      </c>
      <c r="I11" s="8">
        <v>0.0</v>
      </c>
      <c r="J11" s="14">
        <v>0.0</v>
      </c>
      <c r="K11" s="8">
        <v>0.0</v>
      </c>
      <c r="L11" s="15">
        <f t="shared" si="6"/>
        <v>0</v>
      </c>
      <c r="M11" s="16">
        <f t="shared" si="7"/>
        <v>0</v>
      </c>
      <c r="N11" s="13"/>
      <c r="O11" s="152"/>
      <c r="P11" s="153"/>
      <c r="Q11" s="154"/>
      <c r="R11" s="155"/>
      <c r="S11" s="155"/>
      <c r="T11" s="65">
        <v>206.0</v>
      </c>
      <c r="U11" s="3"/>
      <c r="V11" s="3"/>
      <c r="W11" s="151" t="s">
        <v>31</v>
      </c>
      <c r="X11" s="65">
        <v>435.0</v>
      </c>
      <c r="Y11" s="3"/>
      <c r="Z11" s="3"/>
    </row>
    <row r="12">
      <c r="A12" s="5" t="s">
        <v>29</v>
      </c>
      <c r="B12" s="174">
        <v>773994.26</v>
      </c>
      <c r="C12" s="9">
        <f t="shared" ref="C12:C14" si="13">G12+J12+L12</f>
        <v>275750</v>
      </c>
      <c r="D12" s="175">
        <f t="shared" ref="D12:D14" si="14">B12-C12</f>
        <v>498244.26</v>
      </c>
      <c r="E12" s="11">
        <f t="shared" si="3"/>
        <v>64.3731208</v>
      </c>
      <c r="F12" s="12">
        <f t="shared" ref="F12:F14" si="15">D12/K12</f>
        <v>750.3678614</v>
      </c>
      <c r="G12" s="13"/>
      <c r="H12" s="8">
        <v>772.0</v>
      </c>
      <c r="I12" s="8">
        <v>766.0</v>
      </c>
      <c r="J12" s="14">
        <f t="shared" ref="J12:J14" si="16">K12*T12</f>
        <v>204512</v>
      </c>
      <c r="K12" s="8">
        <v>664.0</v>
      </c>
      <c r="L12" s="15">
        <f t="shared" si="6"/>
        <v>71238</v>
      </c>
      <c r="M12" s="16">
        <f t="shared" si="7"/>
        <v>91</v>
      </c>
      <c r="N12" s="8">
        <v>11.0</v>
      </c>
      <c r="O12" s="17">
        <f t="shared" ref="O12:O14" si="17">M12/I12*100</f>
        <v>11.87989556</v>
      </c>
      <c r="P12" s="18">
        <f t="shared" ref="P12:P14" si="18">I12/H12*100</f>
        <v>99.22279793</v>
      </c>
      <c r="Q12" s="19">
        <f t="shared" ref="Q12:Q14" si="19">K12/I12*100</f>
        <v>86.68407311</v>
      </c>
      <c r="R12" s="12">
        <f t="shared" ref="R12:R14" si="20">G12/K12</f>
        <v>0</v>
      </c>
      <c r="S12" s="12">
        <f t="shared" ref="S12:S14" si="21">100-P12</f>
        <v>0.7772020725</v>
      </c>
      <c r="T12" s="65">
        <v>308.0</v>
      </c>
      <c r="U12" s="3"/>
      <c r="V12" s="3"/>
      <c r="W12" s="151" t="s">
        <v>32</v>
      </c>
      <c r="X12" s="65">
        <v>699.0</v>
      </c>
      <c r="Y12" s="3"/>
      <c r="Z12" s="3"/>
    </row>
    <row r="13">
      <c r="A13" s="5" t="s">
        <v>30</v>
      </c>
      <c r="B13" s="174">
        <v>29553.9</v>
      </c>
      <c r="C13" s="9">
        <f t="shared" si="13"/>
        <v>10019</v>
      </c>
      <c r="D13" s="175">
        <f t="shared" si="14"/>
        <v>19534.9</v>
      </c>
      <c r="E13" s="11">
        <f t="shared" si="3"/>
        <v>66.09922887</v>
      </c>
      <c r="F13" s="12">
        <f t="shared" si="15"/>
        <v>1395.35</v>
      </c>
      <c r="G13" s="13"/>
      <c r="H13" s="8">
        <v>16.0</v>
      </c>
      <c r="I13" s="8">
        <v>15.0</v>
      </c>
      <c r="J13" s="14">
        <f t="shared" si="16"/>
        <v>8624</v>
      </c>
      <c r="K13" s="8">
        <v>14.0</v>
      </c>
      <c r="L13" s="15">
        <f t="shared" si="6"/>
        <v>1395</v>
      </c>
      <c r="M13" s="16">
        <f t="shared" si="7"/>
        <v>1</v>
      </c>
      <c r="N13" s="13"/>
      <c r="O13" s="17">
        <f t="shared" si="17"/>
        <v>6.666666667</v>
      </c>
      <c r="P13" s="18">
        <f t="shared" si="18"/>
        <v>93.75</v>
      </c>
      <c r="Q13" s="19">
        <f t="shared" si="19"/>
        <v>93.33333333</v>
      </c>
      <c r="R13" s="12">
        <f t="shared" si="20"/>
        <v>0</v>
      </c>
      <c r="S13" s="12">
        <f t="shared" si="21"/>
        <v>6.25</v>
      </c>
      <c r="T13" s="65">
        <v>616.0</v>
      </c>
      <c r="U13" s="3"/>
      <c r="V13" s="3"/>
      <c r="W13" s="151" t="s">
        <v>33</v>
      </c>
      <c r="X13" s="65">
        <v>778.0</v>
      </c>
      <c r="Y13" s="3"/>
      <c r="Z13" s="3"/>
    </row>
    <row r="14">
      <c r="A14" s="5" t="s">
        <v>31</v>
      </c>
      <c r="B14" s="174">
        <v>83132.63</v>
      </c>
      <c r="C14" s="21">
        <f t="shared" si="13"/>
        <v>46029</v>
      </c>
      <c r="D14" s="22">
        <f t="shared" si="14"/>
        <v>37103.63</v>
      </c>
      <c r="E14" s="11">
        <f t="shared" si="3"/>
        <v>44.63184913</v>
      </c>
      <c r="F14" s="12">
        <f t="shared" si="15"/>
        <v>426.4785057</v>
      </c>
      <c r="G14" s="23"/>
      <c r="H14" s="8">
        <v>89.0</v>
      </c>
      <c r="I14" s="8">
        <v>88.0</v>
      </c>
      <c r="J14" s="14">
        <f t="shared" si="16"/>
        <v>37845</v>
      </c>
      <c r="K14" s="8">
        <v>87.0</v>
      </c>
      <c r="L14" s="15">
        <f t="shared" si="6"/>
        <v>8184</v>
      </c>
      <c r="M14" s="16">
        <f t="shared" si="7"/>
        <v>1</v>
      </c>
      <c r="N14" s="13"/>
      <c r="O14" s="17">
        <f t="shared" si="17"/>
        <v>1.136363636</v>
      </c>
      <c r="P14" s="18">
        <f t="shared" si="18"/>
        <v>98.87640449</v>
      </c>
      <c r="Q14" s="19">
        <f t="shared" si="19"/>
        <v>98.86363636</v>
      </c>
      <c r="R14" s="12">
        <f t="shared" si="20"/>
        <v>0</v>
      </c>
      <c r="S14" s="12">
        <f t="shared" si="21"/>
        <v>1.123595506</v>
      </c>
      <c r="T14" s="65">
        <v>435.0</v>
      </c>
      <c r="U14" s="3"/>
      <c r="V14" s="3"/>
      <c r="W14" s="151" t="s">
        <v>131</v>
      </c>
      <c r="X14" s="65">
        <v>1009.0</v>
      </c>
      <c r="Y14" s="3"/>
      <c r="Z14" s="3"/>
    </row>
    <row r="15">
      <c r="A15" s="5" t="s">
        <v>32</v>
      </c>
      <c r="B15" s="174">
        <v>0.0</v>
      </c>
      <c r="C15" s="21">
        <v>0.0</v>
      </c>
      <c r="D15" s="22">
        <v>0.0</v>
      </c>
      <c r="E15" s="11" t="str">
        <f t="shared" si="3"/>
        <v>#DIV/0!</v>
      </c>
      <c r="F15" s="12">
        <v>0.0</v>
      </c>
      <c r="G15" s="23"/>
      <c r="H15" s="8">
        <v>0.0</v>
      </c>
      <c r="I15" s="8">
        <v>0.0</v>
      </c>
      <c r="J15" s="14">
        <v>0.0</v>
      </c>
      <c r="K15" s="8">
        <v>0.0</v>
      </c>
      <c r="L15" s="15">
        <f t="shared" si="6"/>
        <v>0</v>
      </c>
      <c r="M15" s="16">
        <f t="shared" si="7"/>
        <v>0</v>
      </c>
      <c r="N15" s="13"/>
      <c r="O15" s="152"/>
      <c r="P15" s="153"/>
      <c r="Q15" s="154"/>
      <c r="R15" s="155"/>
      <c r="S15" s="155"/>
      <c r="T15" s="65">
        <v>699.0</v>
      </c>
      <c r="U15" s="3"/>
      <c r="V15" s="3"/>
      <c r="W15" s="156"/>
      <c r="X15" s="3"/>
      <c r="Y15" s="3"/>
      <c r="Z15" s="3"/>
    </row>
    <row r="16">
      <c r="A16" s="5" t="s">
        <v>33</v>
      </c>
      <c r="B16" s="174">
        <v>1072812.12</v>
      </c>
      <c r="C16" s="21">
        <f t="shared" ref="C16:C33" si="22">G16+J16+L16</f>
        <v>548095</v>
      </c>
      <c r="D16" s="22">
        <f t="shared" ref="D16:D33" si="23">B16-C16</f>
        <v>524717.12</v>
      </c>
      <c r="E16" s="11">
        <f t="shared" si="3"/>
        <v>48.91043923</v>
      </c>
      <c r="F16" s="12">
        <f t="shared" ref="F16:F33" si="24">D16/K16</f>
        <v>839.547392</v>
      </c>
      <c r="G16" s="23"/>
      <c r="H16" s="8">
        <v>670.0</v>
      </c>
      <c r="I16" s="8">
        <v>665.0</v>
      </c>
      <c r="J16" s="14">
        <f t="shared" ref="J16:J33" si="25">K16*T16</f>
        <v>486250</v>
      </c>
      <c r="K16" s="8">
        <v>625.0</v>
      </c>
      <c r="L16" s="15">
        <f t="shared" si="6"/>
        <v>61845</v>
      </c>
      <c r="M16" s="16">
        <f t="shared" si="7"/>
        <v>39</v>
      </c>
      <c r="N16" s="8">
        <v>1.0</v>
      </c>
      <c r="O16" s="17">
        <f t="shared" ref="O16:O24" si="26">M16/I16*100</f>
        <v>5.864661654</v>
      </c>
      <c r="P16" s="18">
        <f t="shared" ref="P16:P33" si="27">I16/H16*100</f>
        <v>99.25373134</v>
      </c>
      <c r="Q16" s="19">
        <f t="shared" ref="Q16:Q33" si="28">K16/I16*100</f>
        <v>93.98496241</v>
      </c>
      <c r="R16" s="12">
        <f t="shared" ref="R16:R33" si="29">G16/K16</f>
        <v>0</v>
      </c>
      <c r="S16" s="12">
        <f>100-P16</f>
        <v>0.7462686567</v>
      </c>
      <c r="T16" s="65">
        <v>778.0</v>
      </c>
      <c r="U16" s="3"/>
      <c r="V16" s="3"/>
      <c r="W16" s="156"/>
      <c r="X16" s="3"/>
      <c r="Y16" s="3"/>
      <c r="Z16" s="3"/>
    </row>
    <row r="17">
      <c r="A17" s="5" t="s">
        <v>34</v>
      </c>
      <c r="B17" s="174">
        <v>33662.44</v>
      </c>
      <c r="C17" s="21">
        <f t="shared" si="22"/>
        <v>19974</v>
      </c>
      <c r="D17" s="22">
        <f t="shared" si="23"/>
        <v>13688.44</v>
      </c>
      <c r="E17" s="11">
        <f t="shared" si="3"/>
        <v>40.6638378</v>
      </c>
      <c r="F17" s="12">
        <f t="shared" si="24"/>
        <v>1140.703333</v>
      </c>
      <c r="G17" s="23"/>
      <c r="H17" s="8">
        <v>14.0</v>
      </c>
      <c r="I17" s="8">
        <v>14.0</v>
      </c>
      <c r="J17" s="14">
        <f t="shared" si="25"/>
        <v>18672</v>
      </c>
      <c r="K17" s="8">
        <v>12.0</v>
      </c>
      <c r="L17" s="15">
        <f t="shared" si="6"/>
        <v>1302</v>
      </c>
      <c r="M17" s="16">
        <f t="shared" si="7"/>
        <v>2</v>
      </c>
      <c r="N17" s="13"/>
      <c r="O17" s="17">
        <f t="shared" si="26"/>
        <v>14.28571429</v>
      </c>
      <c r="P17" s="18">
        <f t="shared" si="27"/>
        <v>100</v>
      </c>
      <c r="Q17" s="19">
        <f t="shared" si="28"/>
        <v>85.71428571</v>
      </c>
      <c r="R17" s="12">
        <f t="shared" si="29"/>
        <v>0</v>
      </c>
      <c r="S17" s="12"/>
      <c r="T17" s="65">
        <v>1556.0</v>
      </c>
      <c r="U17" s="3"/>
      <c r="V17" s="3"/>
      <c r="W17" s="3"/>
      <c r="X17" s="3"/>
      <c r="Y17" s="3"/>
      <c r="Z17" s="3"/>
    </row>
    <row r="18">
      <c r="A18" s="5" t="s">
        <v>131</v>
      </c>
      <c r="B18" s="174">
        <v>98679.54</v>
      </c>
      <c r="C18" s="21">
        <f t="shared" si="22"/>
        <v>63372</v>
      </c>
      <c r="D18" s="22">
        <f t="shared" si="23"/>
        <v>35307.54</v>
      </c>
      <c r="E18" s="11">
        <f t="shared" si="3"/>
        <v>35.7800006</v>
      </c>
      <c r="F18" s="12">
        <f t="shared" si="24"/>
        <v>619.4305263</v>
      </c>
      <c r="G18" s="23"/>
      <c r="H18" s="8">
        <v>65.0</v>
      </c>
      <c r="I18" s="8">
        <v>63.0</v>
      </c>
      <c r="J18" s="14">
        <f t="shared" si="25"/>
        <v>57513</v>
      </c>
      <c r="K18" s="8">
        <v>57.0</v>
      </c>
      <c r="L18" s="15">
        <f t="shared" si="6"/>
        <v>5859</v>
      </c>
      <c r="M18" s="16">
        <f t="shared" si="7"/>
        <v>4</v>
      </c>
      <c r="N18" s="8">
        <v>2.0</v>
      </c>
      <c r="O18" s="17">
        <f t="shared" si="26"/>
        <v>6.349206349</v>
      </c>
      <c r="P18" s="18">
        <f t="shared" si="27"/>
        <v>96.92307692</v>
      </c>
      <c r="Q18" s="19">
        <f t="shared" si="28"/>
        <v>90.47619048</v>
      </c>
      <c r="R18" s="12">
        <f t="shared" si="29"/>
        <v>0</v>
      </c>
      <c r="S18" s="12">
        <f>100-P18</f>
        <v>3.076923077</v>
      </c>
      <c r="T18" s="65">
        <v>1009.0</v>
      </c>
      <c r="U18" s="3"/>
      <c r="V18" s="3"/>
      <c r="W18" s="3"/>
      <c r="X18" s="3"/>
      <c r="Y18" s="3"/>
      <c r="Z18" s="3"/>
    </row>
    <row r="19">
      <c r="A19" s="5" t="s">
        <v>37</v>
      </c>
      <c r="B19" s="174">
        <v>56466.36</v>
      </c>
      <c r="C19" s="21">
        <f t="shared" si="22"/>
        <v>43497</v>
      </c>
      <c r="D19" s="22">
        <f t="shared" si="23"/>
        <v>12969.36</v>
      </c>
      <c r="E19" s="11">
        <f t="shared" si="3"/>
        <v>22.96829475</v>
      </c>
      <c r="F19" s="12">
        <f t="shared" si="24"/>
        <v>102.9314286</v>
      </c>
      <c r="G19" s="23"/>
      <c r="H19" s="8">
        <v>129.0</v>
      </c>
      <c r="I19" s="8">
        <v>129.0</v>
      </c>
      <c r="J19" s="14">
        <f t="shared" si="25"/>
        <v>31500</v>
      </c>
      <c r="K19" s="8">
        <v>126.0</v>
      </c>
      <c r="L19" s="15">
        <f t="shared" si="6"/>
        <v>11997</v>
      </c>
      <c r="M19" s="16">
        <f t="shared" si="7"/>
        <v>3</v>
      </c>
      <c r="N19" s="13"/>
      <c r="O19" s="17">
        <f t="shared" si="26"/>
        <v>2.325581395</v>
      </c>
      <c r="P19" s="18">
        <f t="shared" si="27"/>
        <v>100</v>
      </c>
      <c r="Q19" s="19">
        <f t="shared" si="28"/>
        <v>97.6744186</v>
      </c>
      <c r="R19" s="12">
        <f t="shared" si="29"/>
        <v>0</v>
      </c>
      <c r="S19" s="12"/>
      <c r="T19" s="65">
        <v>250.0</v>
      </c>
      <c r="U19" s="3"/>
      <c r="V19" s="3"/>
      <c r="W19" s="3"/>
      <c r="X19" s="3"/>
      <c r="Y19" s="3"/>
      <c r="Z19" s="3"/>
    </row>
    <row r="20">
      <c r="A20" s="5" t="s">
        <v>132</v>
      </c>
      <c r="B20" s="174">
        <v>61001.78</v>
      </c>
      <c r="C20" s="21">
        <f t="shared" si="22"/>
        <v>28254</v>
      </c>
      <c r="D20" s="22">
        <f t="shared" si="23"/>
        <v>32747.78</v>
      </c>
      <c r="E20" s="11">
        <f t="shared" si="3"/>
        <v>53.68331875</v>
      </c>
      <c r="F20" s="12">
        <f t="shared" si="24"/>
        <v>467.8254286</v>
      </c>
      <c r="G20" s="23"/>
      <c r="H20" s="8">
        <v>78.0</v>
      </c>
      <c r="I20" s="8">
        <v>78.0</v>
      </c>
      <c r="J20" s="14">
        <f t="shared" si="25"/>
        <v>21000</v>
      </c>
      <c r="K20" s="8">
        <v>70.0</v>
      </c>
      <c r="L20" s="15">
        <f t="shared" si="6"/>
        <v>7254</v>
      </c>
      <c r="M20" s="16">
        <f t="shared" si="7"/>
        <v>8</v>
      </c>
      <c r="N20" s="13"/>
      <c r="O20" s="17">
        <f t="shared" si="26"/>
        <v>10.25641026</v>
      </c>
      <c r="P20" s="18">
        <f t="shared" si="27"/>
        <v>100</v>
      </c>
      <c r="Q20" s="19">
        <f t="shared" si="28"/>
        <v>89.74358974</v>
      </c>
      <c r="R20" s="12">
        <f t="shared" si="29"/>
        <v>0</v>
      </c>
      <c r="S20" s="12"/>
      <c r="T20" s="65">
        <v>300.0</v>
      </c>
      <c r="U20" s="3"/>
      <c r="V20" s="3"/>
      <c r="W20" s="3"/>
      <c r="X20" s="3"/>
      <c r="Y20" s="3"/>
      <c r="Z20" s="3"/>
    </row>
    <row r="21">
      <c r="A21" s="5" t="s">
        <v>146</v>
      </c>
      <c r="B21" s="174">
        <v>6340.59</v>
      </c>
      <c r="C21" s="21">
        <f t="shared" si="22"/>
        <v>2844</v>
      </c>
      <c r="D21" s="22">
        <f t="shared" si="23"/>
        <v>3496.59</v>
      </c>
      <c r="E21" s="11">
        <f t="shared" si="3"/>
        <v>55.14612993</v>
      </c>
      <c r="F21" s="12">
        <f t="shared" si="24"/>
        <v>499.5128571</v>
      </c>
      <c r="G21" s="23"/>
      <c r="H21" s="8">
        <v>8.0</v>
      </c>
      <c r="I21" s="8">
        <v>8.0</v>
      </c>
      <c r="J21" s="14">
        <f t="shared" si="25"/>
        <v>2100</v>
      </c>
      <c r="K21" s="8">
        <v>7.0</v>
      </c>
      <c r="L21" s="15">
        <f t="shared" si="6"/>
        <v>744</v>
      </c>
      <c r="M21" s="16">
        <f t="shared" si="7"/>
        <v>1</v>
      </c>
      <c r="N21" s="13"/>
      <c r="O21" s="17">
        <f t="shared" si="26"/>
        <v>12.5</v>
      </c>
      <c r="P21" s="18">
        <f t="shared" si="27"/>
        <v>100</v>
      </c>
      <c r="Q21" s="19">
        <f t="shared" si="28"/>
        <v>87.5</v>
      </c>
      <c r="R21" s="12">
        <f t="shared" si="29"/>
        <v>0</v>
      </c>
      <c r="S21" s="12"/>
      <c r="T21" s="65">
        <v>300.0</v>
      </c>
      <c r="U21" s="3"/>
      <c r="V21" s="3"/>
      <c r="W21" s="3"/>
      <c r="X21" s="3"/>
      <c r="Y21" s="3"/>
      <c r="Z21" s="3"/>
    </row>
    <row r="22">
      <c r="A22" s="5" t="s">
        <v>133</v>
      </c>
      <c r="B22" s="174">
        <v>140649.32</v>
      </c>
      <c r="C22" s="21">
        <f t="shared" si="22"/>
        <v>78837</v>
      </c>
      <c r="D22" s="22">
        <f t="shared" si="23"/>
        <v>61812.32</v>
      </c>
      <c r="E22" s="11">
        <f t="shared" si="3"/>
        <v>43.94782712</v>
      </c>
      <c r="F22" s="12">
        <f t="shared" si="24"/>
        <v>312.1834343</v>
      </c>
      <c r="G22" s="23"/>
      <c r="H22" s="8">
        <v>211.0</v>
      </c>
      <c r="I22" s="8">
        <v>209.0</v>
      </c>
      <c r="J22" s="14">
        <f t="shared" si="25"/>
        <v>59400</v>
      </c>
      <c r="K22" s="8">
        <v>198.0</v>
      </c>
      <c r="L22" s="15">
        <f t="shared" si="6"/>
        <v>19437</v>
      </c>
      <c r="M22" s="16">
        <f t="shared" si="7"/>
        <v>9</v>
      </c>
      <c r="N22" s="8">
        <v>2.0</v>
      </c>
      <c r="O22" s="17">
        <f t="shared" si="26"/>
        <v>4.306220096</v>
      </c>
      <c r="P22" s="18">
        <f t="shared" si="27"/>
        <v>99.0521327</v>
      </c>
      <c r="Q22" s="19">
        <f t="shared" si="28"/>
        <v>94.73684211</v>
      </c>
      <c r="R22" s="12">
        <f t="shared" si="29"/>
        <v>0</v>
      </c>
      <c r="S22" s="12">
        <f t="shared" ref="S22:S23" si="30">100-P22</f>
        <v>0.9478672986</v>
      </c>
      <c r="T22" s="65">
        <v>300.0</v>
      </c>
      <c r="U22" s="3"/>
      <c r="V22" s="3"/>
      <c r="W22" s="3"/>
      <c r="X22" s="3"/>
      <c r="Y22" s="3"/>
      <c r="Z22" s="3"/>
    </row>
    <row r="23">
      <c r="A23" s="5" t="s">
        <v>134</v>
      </c>
      <c r="B23" s="174">
        <v>116723.77</v>
      </c>
      <c r="C23" s="21">
        <f t="shared" si="22"/>
        <v>61599</v>
      </c>
      <c r="D23" s="22">
        <f t="shared" si="23"/>
        <v>55124.77</v>
      </c>
      <c r="E23" s="11">
        <f t="shared" si="3"/>
        <v>47.22668742</v>
      </c>
      <c r="F23" s="12">
        <f t="shared" si="24"/>
        <v>1378.11925</v>
      </c>
      <c r="G23" s="23"/>
      <c r="H23" s="8">
        <v>44.0</v>
      </c>
      <c r="I23" s="8">
        <v>43.0</v>
      </c>
      <c r="J23" s="14">
        <f t="shared" si="25"/>
        <v>57600</v>
      </c>
      <c r="K23" s="8">
        <v>40.0</v>
      </c>
      <c r="L23" s="15">
        <f t="shared" si="6"/>
        <v>3999</v>
      </c>
      <c r="M23" s="16">
        <f t="shared" si="7"/>
        <v>2</v>
      </c>
      <c r="N23" s="8">
        <v>1.0</v>
      </c>
      <c r="O23" s="17">
        <f t="shared" si="26"/>
        <v>4.651162791</v>
      </c>
      <c r="P23" s="18">
        <f t="shared" si="27"/>
        <v>97.72727273</v>
      </c>
      <c r="Q23" s="19">
        <f t="shared" si="28"/>
        <v>93.02325581</v>
      </c>
      <c r="R23" s="12">
        <f t="shared" si="29"/>
        <v>0</v>
      </c>
      <c r="S23" s="12">
        <f t="shared" si="30"/>
        <v>2.272727273</v>
      </c>
      <c r="T23" s="65">
        <v>1440.0</v>
      </c>
      <c r="U23" s="3"/>
      <c r="V23" s="3"/>
      <c r="W23" s="3"/>
      <c r="X23" s="3"/>
      <c r="Y23" s="3"/>
      <c r="Z23" s="3"/>
    </row>
    <row r="24">
      <c r="A24" s="5" t="s">
        <v>135</v>
      </c>
      <c r="B24" s="174">
        <v>153524.67</v>
      </c>
      <c r="C24" s="21">
        <f t="shared" si="22"/>
        <v>99733</v>
      </c>
      <c r="D24" s="22">
        <f t="shared" si="23"/>
        <v>53791.67</v>
      </c>
      <c r="E24" s="11">
        <f t="shared" si="3"/>
        <v>35.03780207</v>
      </c>
      <c r="F24" s="12">
        <f t="shared" si="24"/>
        <v>1014.93717</v>
      </c>
      <c r="G24" s="23"/>
      <c r="H24" s="8">
        <v>54.0</v>
      </c>
      <c r="I24" s="8">
        <v>54.0</v>
      </c>
      <c r="J24" s="14">
        <f t="shared" si="25"/>
        <v>94711</v>
      </c>
      <c r="K24" s="8">
        <v>53.0</v>
      </c>
      <c r="L24" s="15">
        <f t="shared" si="6"/>
        <v>5022</v>
      </c>
      <c r="M24" s="16">
        <f t="shared" si="7"/>
        <v>1</v>
      </c>
      <c r="N24" s="13"/>
      <c r="O24" s="17">
        <f t="shared" si="26"/>
        <v>1.851851852</v>
      </c>
      <c r="P24" s="18">
        <f t="shared" si="27"/>
        <v>100</v>
      </c>
      <c r="Q24" s="19">
        <f t="shared" si="28"/>
        <v>98.14814815</v>
      </c>
      <c r="R24" s="12">
        <f t="shared" si="29"/>
        <v>0</v>
      </c>
      <c r="S24" s="12"/>
      <c r="T24" s="65">
        <v>1787.0</v>
      </c>
      <c r="U24" s="3"/>
      <c r="V24" s="3"/>
      <c r="W24" s="3"/>
      <c r="X24" s="3"/>
      <c r="Y24" s="3"/>
      <c r="Z24" s="3"/>
    </row>
    <row r="25">
      <c r="A25" s="5" t="s">
        <v>136</v>
      </c>
      <c r="B25" s="174">
        <v>3648.0</v>
      </c>
      <c r="C25" s="21">
        <f t="shared" si="22"/>
        <v>1424</v>
      </c>
      <c r="D25" s="22">
        <f t="shared" si="23"/>
        <v>2224</v>
      </c>
      <c r="E25" s="11">
        <f t="shared" si="3"/>
        <v>60.96491228</v>
      </c>
      <c r="F25" s="12">
        <f t="shared" si="24"/>
        <v>1112</v>
      </c>
      <c r="G25" s="23"/>
      <c r="H25" s="8">
        <v>2.0</v>
      </c>
      <c r="I25" s="8">
        <v>2.0</v>
      </c>
      <c r="J25" s="14">
        <f t="shared" si="25"/>
        <v>1238</v>
      </c>
      <c r="K25" s="8">
        <v>2.0</v>
      </c>
      <c r="L25" s="15">
        <f t="shared" si="6"/>
        <v>186</v>
      </c>
      <c r="M25" s="16">
        <f t="shared" si="7"/>
        <v>0</v>
      </c>
      <c r="N25" s="13"/>
      <c r="O25" s="17"/>
      <c r="P25" s="18">
        <f t="shared" si="27"/>
        <v>100</v>
      </c>
      <c r="Q25" s="19">
        <f t="shared" si="28"/>
        <v>100</v>
      </c>
      <c r="R25" s="12">
        <f t="shared" si="29"/>
        <v>0</v>
      </c>
      <c r="S25" s="12"/>
      <c r="T25" s="65">
        <v>619.0</v>
      </c>
      <c r="U25" s="3"/>
      <c r="V25" s="3"/>
      <c r="W25" s="3"/>
      <c r="X25" s="3"/>
      <c r="Y25" s="3"/>
      <c r="Z25" s="3"/>
    </row>
    <row r="26">
      <c r="A26" s="5" t="s">
        <v>137</v>
      </c>
      <c r="B26" s="174">
        <v>78312.62</v>
      </c>
      <c r="C26" s="21">
        <f t="shared" si="22"/>
        <v>32552</v>
      </c>
      <c r="D26" s="22">
        <f t="shared" si="23"/>
        <v>45760.62</v>
      </c>
      <c r="E26" s="11">
        <f t="shared" si="3"/>
        <v>58.43326401</v>
      </c>
      <c r="F26" s="12">
        <f t="shared" si="24"/>
        <v>715.0096875</v>
      </c>
      <c r="G26" s="23"/>
      <c r="H26" s="8">
        <v>73.0</v>
      </c>
      <c r="I26" s="8">
        <v>72.0</v>
      </c>
      <c r="J26" s="14">
        <f t="shared" si="25"/>
        <v>25856</v>
      </c>
      <c r="K26" s="8">
        <v>64.0</v>
      </c>
      <c r="L26" s="15">
        <f t="shared" si="6"/>
        <v>6696</v>
      </c>
      <c r="M26" s="16">
        <f t="shared" si="7"/>
        <v>7</v>
      </c>
      <c r="N26" s="8">
        <v>1.0</v>
      </c>
      <c r="O26" s="17">
        <f t="shared" ref="O26:O27" si="31">M26/I26*100</f>
        <v>9.722222222</v>
      </c>
      <c r="P26" s="18">
        <f t="shared" si="27"/>
        <v>98.63013699</v>
      </c>
      <c r="Q26" s="19">
        <f t="shared" si="28"/>
        <v>88.88888889</v>
      </c>
      <c r="R26" s="12">
        <f t="shared" si="29"/>
        <v>0</v>
      </c>
      <c r="S26" s="12">
        <f>100-P26</f>
        <v>1.369863014</v>
      </c>
      <c r="T26" s="65">
        <v>404.0</v>
      </c>
      <c r="U26" s="3"/>
      <c r="V26" s="3"/>
      <c r="W26" s="3"/>
      <c r="X26" s="3"/>
      <c r="Y26" s="3"/>
      <c r="Z26" s="3"/>
    </row>
    <row r="27">
      <c r="A27" s="5" t="s">
        <v>138</v>
      </c>
      <c r="B27" s="174">
        <v>76267.21</v>
      </c>
      <c r="C27" s="21">
        <f t="shared" si="22"/>
        <v>33191</v>
      </c>
      <c r="D27" s="22">
        <f t="shared" si="23"/>
        <v>43076.21</v>
      </c>
      <c r="E27" s="11">
        <f t="shared" si="3"/>
        <v>56.48064221</v>
      </c>
      <c r="F27" s="12">
        <f t="shared" si="24"/>
        <v>979.0047727</v>
      </c>
      <c r="G27" s="23"/>
      <c r="H27" s="8">
        <v>47.0</v>
      </c>
      <c r="I27" s="8">
        <v>47.0</v>
      </c>
      <c r="J27" s="14">
        <f t="shared" si="25"/>
        <v>28820</v>
      </c>
      <c r="K27" s="8">
        <v>44.0</v>
      </c>
      <c r="L27" s="15">
        <f t="shared" si="6"/>
        <v>4371</v>
      </c>
      <c r="M27" s="16">
        <f t="shared" si="7"/>
        <v>2</v>
      </c>
      <c r="N27" s="8">
        <v>1.0</v>
      </c>
      <c r="O27" s="17">
        <f t="shared" si="31"/>
        <v>4.255319149</v>
      </c>
      <c r="P27" s="18">
        <f t="shared" si="27"/>
        <v>100</v>
      </c>
      <c r="Q27" s="19">
        <f t="shared" si="28"/>
        <v>93.61702128</v>
      </c>
      <c r="R27" s="12">
        <f t="shared" si="29"/>
        <v>0</v>
      </c>
      <c r="S27" s="12"/>
      <c r="T27" s="65">
        <v>655.0</v>
      </c>
      <c r="U27" s="3"/>
      <c r="V27" s="3"/>
      <c r="W27" s="3"/>
      <c r="X27" s="3"/>
      <c r="Y27" s="3"/>
      <c r="Z27" s="3"/>
    </row>
    <row r="28">
      <c r="A28" s="5" t="s">
        <v>35</v>
      </c>
      <c r="B28" s="174">
        <v>35495.91</v>
      </c>
      <c r="C28" s="21">
        <f t="shared" si="22"/>
        <v>12690</v>
      </c>
      <c r="D28" s="22">
        <f t="shared" si="23"/>
        <v>22805.91</v>
      </c>
      <c r="E28" s="11">
        <f t="shared" si="3"/>
        <v>64.24940226</v>
      </c>
      <c r="F28" s="12">
        <f t="shared" si="24"/>
        <v>1266.995</v>
      </c>
      <c r="G28" s="23"/>
      <c r="H28" s="8">
        <v>19.0</v>
      </c>
      <c r="I28" s="8">
        <v>18.0</v>
      </c>
      <c r="J28" s="14">
        <f t="shared" si="25"/>
        <v>11016</v>
      </c>
      <c r="K28" s="8">
        <v>18.0</v>
      </c>
      <c r="L28" s="15">
        <f t="shared" si="6"/>
        <v>1674</v>
      </c>
      <c r="M28" s="16">
        <f t="shared" si="7"/>
        <v>0</v>
      </c>
      <c r="N28" s="13"/>
      <c r="O28" s="17"/>
      <c r="P28" s="18">
        <f t="shared" si="27"/>
        <v>94.73684211</v>
      </c>
      <c r="Q28" s="19">
        <f t="shared" si="28"/>
        <v>100</v>
      </c>
      <c r="R28" s="12">
        <f t="shared" si="29"/>
        <v>0</v>
      </c>
      <c r="S28" s="12">
        <f t="shared" ref="S28:S30" si="32">100-P28</f>
        <v>5.263157895</v>
      </c>
      <c r="T28" s="65">
        <v>612.0</v>
      </c>
      <c r="U28" s="3"/>
      <c r="V28" s="3"/>
      <c r="W28" s="3"/>
      <c r="X28" s="3"/>
      <c r="Y28" s="3"/>
      <c r="Z28" s="3"/>
    </row>
    <row r="29">
      <c r="A29" s="5" t="s">
        <v>139</v>
      </c>
      <c r="B29" s="174">
        <v>157668.17</v>
      </c>
      <c r="C29" s="21">
        <f t="shared" si="22"/>
        <v>74126</v>
      </c>
      <c r="D29" s="22">
        <f t="shared" si="23"/>
        <v>83542.17</v>
      </c>
      <c r="E29" s="11">
        <f t="shared" si="3"/>
        <v>52.98607195</v>
      </c>
      <c r="F29" s="12">
        <f t="shared" si="24"/>
        <v>949.3428409</v>
      </c>
      <c r="G29" s="23"/>
      <c r="H29" s="8">
        <v>97.0</v>
      </c>
      <c r="I29" s="8">
        <v>94.0</v>
      </c>
      <c r="J29" s="14">
        <f t="shared" si="25"/>
        <v>65384</v>
      </c>
      <c r="K29" s="8">
        <v>88.0</v>
      </c>
      <c r="L29" s="15">
        <f t="shared" si="6"/>
        <v>8742</v>
      </c>
      <c r="M29" s="16">
        <f t="shared" si="7"/>
        <v>5</v>
      </c>
      <c r="N29" s="8">
        <v>1.0</v>
      </c>
      <c r="O29" s="17">
        <f t="shared" ref="O29:O31" si="33">M29/I29*100</f>
        <v>5.319148936</v>
      </c>
      <c r="P29" s="18">
        <f t="shared" si="27"/>
        <v>96.90721649</v>
      </c>
      <c r="Q29" s="19">
        <f t="shared" si="28"/>
        <v>93.61702128</v>
      </c>
      <c r="R29" s="12">
        <f t="shared" si="29"/>
        <v>0</v>
      </c>
      <c r="S29" s="12">
        <f t="shared" si="32"/>
        <v>3.092783505</v>
      </c>
      <c r="T29" s="65">
        <v>743.0</v>
      </c>
      <c r="U29" s="3"/>
      <c r="V29" s="3"/>
      <c r="W29" s="3"/>
      <c r="X29" s="3"/>
      <c r="Y29" s="3"/>
      <c r="Z29" s="3"/>
    </row>
    <row r="30">
      <c r="A30" s="5" t="s">
        <v>140</v>
      </c>
      <c r="B30" s="174">
        <v>78961.22</v>
      </c>
      <c r="C30" s="21">
        <f t="shared" si="22"/>
        <v>35962</v>
      </c>
      <c r="D30" s="22">
        <f t="shared" si="23"/>
        <v>42999.22</v>
      </c>
      <c r="E30" s="11">
        <f t="shared" si="3"/>
        <v>54.45612416</v>
      </c>
      <c r="F30" s="12">
        <f t="shared" si="24"/>
        <v>999.9818605</v>
      </c>
      <c r="G30" s="23"/>
      <c r="H30" s="8">
        <v>46.0</v>
      </c>
      <c r="I30" s="8">
        <v>45.0</v>
      </c>
      <c r="J30" s="14">
        <f t="shared" si="25"/>
        <v>31777</v>
      </c>
      <c r="K30" s="8">
        <v>43.0</v>
      </c>
      <c r="L30" s="15">
        <f t="shared" si="6"/>
        <v>4185</v>
      </c>
      <c r="M30" s="16">
        <f t="shared" si="7"/>
        <v>2</v>
      </c>
      <c r="N30" s="13"/>
      <c r="O30" s="17">
        <f t="shared" si="33"/>
        <v>4.444444444</v>
      </c>
      <c r="P30" s="18">
        <f t="shared" si="27"/>
        <v>97.82608696</v>
      </c>
      <c r="Q30" s="19">
        <f t="shared" si="28"/>
        <v>95.55555556</v>
      </c>
      <c r="R30" s="12">
        <f t="shared" si="29"/>
        <v>0</v>
      </c>
      <c r="S30" s="12">
        <f t="shared" si="32"/>
        <v>2.173913043</v>
      </c>
      <c r="T30" s="65">
        <v>739.0</v>
      </c>
      <c r="U30" s="3"/>
      <c r="V30" s="3"/>
      <c r="W30" s="3"/>
      <c r="X30" s="3"/>
      <c r="Y30" s="3"/>
      <c r="Z30" s="3"/>
    </row>
    <row r="31">
      <c r="A31" s="5" t="s">
        <v>141</v>
      </c>
      <c r="B31" s="174">
        <v>46484.13</v>
      </c>
      <c r="C31" s="21">
        <f t="shared" si="22"/>
        <v>14901</v>
      </c>
      <c r="D31" s="22">
        <f t="shared" si="23"/>
        <v>31583.13</v>
      </c>
      <c r="E31" s="11">
        <f t="shared" si="3"/>
        <v>67.94389827</v>
      </c>
      <c r="F31" s="12">
        <f t="shared" si="24"/>
        <v>1315.96375</v>
      </c>
      <c r="G31" s="23"/>
      <c r="H31" s="8">
        <v>25.0</v>
      </c>
      <c r="I31" s="8">
        <v>25.0</v>
      </c>
      <c r="J31" s="14">
        <f t="shared" si="25"/>
        <v>12576</v>
      </c>
      <c r="K31" s="8">
        <v>24.0</v>
      </c>
      <c r="L31" s="15">
        <f t="shared" si="6"/>
        <v>2325</v>
      </c>
      <c r="M31" s="16">
        <f t="shared" si="7"/>
        <v>1</v>
      </c>
      <c r="N31" s="13"/>
      <c r="O31" s="17">
        <f t="shared" si="33"/>
        <v>4</v>
      </c>
      <c r="P31" s="18">
        <f t="shared" si="27"/>
        <v>100</v>
      </c>
      <c r="Q31" s="19">
        <f t="shared" si="28"/>
        <v>96</v>
      </c>
      <c r="R31" s="12">
        <f t="shared" si="29"/>
        <v>0</v>
      </c>
      <c r="S31" s="12"/>
      <c r="T31" s="65">
        <v>524.0</v>
      </c>
      <c r="U31" s="3"/>
      <c r="V31" s="3"/>
      <c r="W31" s="3"/>
      <c r="X31" s="3"/>
      <c r="Y31" s="3"/>
      <c r="Z31" s="3"/>
    </row>
    <row r="32">
      <c r="A32" s="5" t="s">
        <v>36</v>
      </c>
      <c r="B32" s="174">
        <v>5497.0</v>
      </c>
      <c r="C32" s="21">
        <f t="shared" si="22"/>
        <v>1755</v>
      </c>
      <c r="D32" s="22">
        <f t="shared" si="23"/>
        <v>3742</v>
      </c>
      <c r="E32" s="11">
        <f t="shared" si="3"/>
        <v>68.07349463</v>
      </c>
      <c r="F32" s="12">
        <f t="shared" si="24"/>
        <v>1247.333333</v>
      </c>
      <c r="G32" s="23"/>
      <c r="H32" s="8">
        <v>3.0</v>
      </c>
      <c r="I32" s="8">
        <v>3.0</v>
      </c>
      <c r="J32" s="14">
        <f t="shared" si="25"/>
        <v>1476</v>
      </c>
      <c r="K32" s="8">
        <v>3.0</v>
      </c>
      <c r="L32" s="15">
        <f t="shared" si="6"/>
        <v>279</v>
      </c>
      <c r="M32" s="16">
        <f t="shared" si="7"/>
        <v>0</v>
      </c>
      <c r="N32" s="13"/>
      <c r="O32" s="17"/>
      <c r="P32" s="18">
        <f t="shared" si="27"/>
        <v>100</v>
      </c>
      <c r="Q32" s="19">
        <f t="shared" si="28"/>
        <v>100</v>
      </c>
      <c r="R32" s="12">
        <f t="shared" si="29"/>
        <v>0</v>
      </c>
      <c r="S32" s="12"/>
      <c r="T32" s="65">
        <v>492.0</v>
      </c>
      <c r="U32" s="3"/>
      <c r="V32" s="3"/>
      <c r="W32" s="3"/>
      <c r="X32" s="3"/>
      <c r="Y32" s="3"/>
      <c r="Z32" s="3"/>
    </row>
    <row r="33">
      <c r="A33" s="5" t="s">
        <v>142</v>
      </c>
      <c r="B33" s="174">
        <v>21095.32</v>
      </c>
      <c r="C33" s="21">
        <f t="shared" si="22"/>
        <v>8134</v>
      </c>
      <c r="D33" s="22">
        <f t="shared" si="23"/>
        <v>12961.32</v>
      </c>
      <c r="E33" s="11">
        <f t="shared" si="3"/>
        <v>61.4416847</v>
      </c>
      <c r="F33" s="12">
        <f t="shared" si="24"/>
        <v>925.8085714</v>
      </c>
      <c r="G33" s="23"/>
      <c r="H33" s="8">
        <v>14.0</v>
      </c>
      <c r="I33" s="8">
        <v>14.0</v>
      </c>
      <c r="J33" s="14">
        <f t="shared" si="25"/>
        <v>6832</v>
      </c>
      <c r="K33" s="8">
        <v>14.0</v>
      </c>
      <c r="L33" s="15">
        <f t="shared" si="6"/>
        <v>1302</v>
      </c>
      <c r="M33" s="16">
        <f t="shared" si="7"/>
        <v>0</v>
      </c>
      <c r="N33" s="13"/>
      <c r="O33" s="17"/>
      <c r="P33" s="18">
        <f t="shared" si="27"/>
        <v>100</v>
      </c>
      <c r="Q33" s="19">
        <f t="shared" si="28"/>
        <v>100</v>
      </c>
      <c r="R33" s="12">
        <f t="shared" si="29"/>
        <v>0</v>
      </c>
      <c r="S33" s="12"/>
      <c r="T33" s="65">
        <v>488.0</v>
      </c>
      <c r="U33" s="3"/>
      <c r="V33" s="3"/>
      <c r="W33" s="3"/>
      <c r="X33" s="3"/>
      <c r="Y33" s="3"/>
      <c r="Z33" s="3"/>
    </row>
    <row r="34">
      <c r="A34" s="176" t="s">
        <v>38</v>
      </c>
      <c r="B34" s="177">
        <f>sum(B4:B33)+80000</f>
        <v>5745638.15</v>
      </c>
      <c r="C34" s="178"/>
      <c r="D34" s="179">
        <f>SUM(D4:D33)</f>
        <v>3010627.15</v>
      </c>
      <c r="E34" s="180"/>
      <c r="F34" s="180"/>
      <c r="G34" s="181">
        <v>3292687.0</v>
      </c>
      <c r="H34" s="179">
        <f t="shared" ref="H34:I34" si="34">SUM(H4:H33)</f>
        <v>5697</v>
      </c>
      <c r="I34" s="179">
        <f t="shared" si="34"/>
        <v>5641</v>
      </c>
      <c r="J34" s="179">
        <f>SUM(J4:J33)+(250*70)</f>
        <v>2147898</v>
      </c>
      <c r="K34" s="179">
        <f t="shared" ref="K34:N34" si="35">SUM(K4:K33)</f>
        <v>5264</v>
      </c>
      <c r="L34" s="179">
        <f t="shared" si="35"/>
        <v>524613</v>
      </c>
      <c r="M34" s="179">
        <f t="shared" si="35"/>
        <v>343</v>
      </c>
      <c r="N34" s="179">
        <f t="shared" si="35"/>
        <v>34</v>
      </c>
      <c r="O34" s="182">
        <f t="shared" ref="O34:Q34" si="36">AVERAGE(O4:O33)</f>
        <v>6.218430314</v>
      </c>
      <c r="P34" s="183">
        <f t="shared" si="36"/>
        <v>98.71391854</v>
      </c>
      <c r="Q34" s="183">
        <f t="shared" si="36"/>
        <v>94.14954423</v>
      </c>
      <c r="R34" s="179">
        <f>SUM(R4:R33)</f>
        <v>0</v>
      </c>
      <c r="S34" s="183">
        <f>AVERAGE(S4:S33)</f>
        <v>2.400685383</v>
      </c>
      <c r="T34" s="178"/>
      <c r="U34" s="37"/>
      <c r="V34" s="37"/>
      <c r="W34" s="37"/>
      <c r="X34" s="37"/>
      <c r="Y34" s="37"/>
      <c r="Z34" s="37"/>
    </row>
    <row r="35">
      <c r="A35" s="3"/>
      <c r="B35" s="3"/>
      <c r="C35" s="3"/>
      <c r="D35" s="3"/>
      <c r="E35" s="3"/>
      <c r="F35" s="3"/>
      <c r="G35" s="37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156"/>
      <c r="X35" s="70"/>
    </row>
    <row r="36">
      <c r="A36" s="3"/>
      <c r="B36" s="3"/>
      <c r="C36" s="3"/>
      <c r="D36" s="30" t="s">
        <v>39</v>
      </c>
      <c r="E36" s="3"/>
      <c r="F36" s="3"/>
      <c r="G36" s="3"/>
      <c r="H36" s="157"/>
      <c r="I36" s="157"/>
      <c r="J36" s="160"/>
      <c r="K36" s="161"/>
      <c r="L36" s="157"/>
      <c r="M36" s="3"/>
      <c r="N36" s="3"/>
      <c r="O36" s="3"/>
      <c r="P36" s="3"/>
      <c r="Q36" s="3"/>
      <c r="R36" s="3"/>
      <c r="S36" s="3"/>
      <c r="T36" s="3"/>
      <c r="U36" s="3"/>
      <c r="V36" s="3"/>
      <c r="W36" s="156"/>
      <c r="X36" s="70"/>
    </row>
    <row r="37">
      <c r="A37" s="31" t="s">
        <v>116</v>
      </c>
      <c r="B37" s="184">
        <f>K34</f>
        <v>5264</v>
      </c>
      <c r="C37" s="3"/>
      <c r="D37" s="69" t="s">
        <v>147</v>
      </c>
      <c r="E37" s="162">
        <v>-41.0</v>
      </c>
      <c r="F37" s="3"/>
      <c r="G37" s="3"/>
      <c r="H37" s="157"/>
      <c r="I37" s="157"/>
      <c r="J37" s="163"/>
      <c r="K37" s="161"/>
      <c r="L37" s="157"/>
      <c r="M37" s="3"/>
      <c r="N37" s="3"/>
      <c r="O37" s="3"/>
      <c r="P37" s="3"/>
      <c r="Q37" s="3"/>
      <c r="R37" s="3"/>
      <c r="S37" s="3"/>
      <c r="T37" s="3"/>
      <c r="U37" s="3"/>
      <c r="V37" s="3"/>
      <c r="W37" s="156"/>
      <c r="X37" s="70"/>
    </row>
    <row r="38">
      <c r="A38" s="31" t="s">
        <v>40</v>
      </c>
      <c r="B38" s="106">
        <f>B34</f>
        <v>5745638.15</v>
      </c>
      <c r="C38" s="3"/>
      <c r="D38" s="33" t="s">
        <v>41</v>
      </c>
      <c r="E38" s="34">
        <f>B39/B37</f>
        <v>408.0353343</v>
      </c>
      <c r="F38" s="35">
        <v>0.37</v>
      </c>
      <c r="G38" s="3"/>
      <c r="H38" s="157"/>
      <c r="I38" s="157"/>
      <c r="J38" s="160"/>
      <c r="K38" s="161"/>
      <c r="L38" s="157"/>
      <c r="M38" s="3"/>
      <c r="N38" s="3"/>
      <c r="O38" s="3"/>
      <c r="P38" s="3"/>
      <c r="Q38" s="3"/>
      <c r="R38" s="3"/>
      <c r="S38" s="3"/>
      <c r="T38" s="3"/>
      <c r="U38" s="3"/>
      <c r="V38" s="3"/>
      <c r="W38" s="156"/>
      <c r="X38" s="70"/>
    </row>
    <row r="39">
      <c r="A39" s="31" t="s">
        <v>41</v>
      </c>
      <c r="B39" s="106">
        <f>J34</f>
        <v>2147898</v>
      </c>
      <c r="C39" s="35"/>
      <c r="D39" s="33" t="s">
        <v>42</v>
      </c>
      <c r="E39" s="34">
        <f>B41/B37</f>
        <v>625.5104483</v>
      </c>
      <c r="F39" s="35">
        <v>0.57</v>
      </c>
      <c r="G39" s="3"/>
      <c r="H39" s="157"/>
      <c r="I39" s="157"/>
      <c r="J39" s="160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70"/>
    </row>
    <row r="40">
      <c r="A40" s="31" t="s">
        <v>43</v>
      </c>
      <c r="B40" s="106">
        <f>L34</f>
        <v>524613</v>
      </c>
      <c r="C40" s="35"/>
      <c r="D40" s="33" t="s">
        <v>43</v>
      </c>
      <c r="E40" s="34">
        <v>99.0</v>
      </c>
      <c r="F40" s="35">
        <v>0.09</v>
      </c>
      <c r="G40" s="3"/>
      <c r="H40" s="157"/>
      <c r="I40" s="157"/>
      <c r="J40" s="160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70"/>
    </row>
    <row r="41">
      <c r="A41" s="31" t="s">
        <v>44</v>
      </c>
      <c r="B41" s="106">
        <f>G34</f>
        <v>3292687</v>
      </c>
      <c r="C41" s="35"/>
      <c r="D41" s="33" t="s">
        <v>45</v>
      </c>
      <c r="E41" s="34">
        <f>B38/B37</f>
        <v>1091.496609</v>
      </c>
      <c r="F41" s="3"/>
      <c r="G41" s="3"/>
      <c r="H41" s="157"/>
      <c r="I41" s="157"/>
      <c r="J41" s="157"/>
      <c r="K41" s="157"/>
      <c r="L41" s="157"/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70"/>
    </row>
    <row r="42">
      <c r="A42" s="31" t="s">
        <v>46</v>
      </c>
      <c r="B42" s="106">
        <f>B38-(B39+B40+B41)</f>
        <v>-219559.85</v>
      </c>
      <c r="C42" s="37"/>
      <c r="D42" s="3"/>
      <c r="E42" s="3"/>
      <c r="F42" s="3"/>
      <c r="G42" s="3"/>
      <c r="H42" s="157"/>
      <c r="I42" s="157"/>
      <c r="J42" s="157"/>
      <c r="K42" s="157"/>
      <c r="L42" s="157"/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70"/>
    </row>
    <row r="43">
      <c r="A43" s="31" t="s">
        <v>47</v>
      </c>
      <c r="B43" s="114">
        <f>B42/B38</f>
        <v>-0.03821330969</v>
      </c>
      <c r="C43" s="3"/>
      <c r="D43" s="3"/>
      <c r="E43" s="3"/>
      <c r="F43" s="3"/>
      <c r="G43" s="3"/>
      <c r="H43" s="157"/>
      <c r="I43" s="157"/>
      <c r="J43" s="157"/>
      <c r="K43" s="157"/>
      <c r="L43" s="15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>
      <c r="A44" s="3"/>
      <c r="B44" s="3"/>
      <c r="C44" s="3"/>
      <c r="D44" s="3"/>
      <c r="E44" s="3"/>
      <c r="F44" s="3"/>
      <c r="G44" s="3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6">
      <c r="A46" s="1" t="s">
        <v>144</v>
      </c>
      <c r="B46" s="2" t="s">
        <v>48</v>
      </c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>
      <c r="A48" s="38" t="s">
        <v>49</v>
      </c>
      <c r="B48" s="24" t="s">
        <v>3</v>
      </c>
      <c r="C48" s="24" t="s">
        <v>4</v>
      </c>
      <c r="D48" s="24" t="s">
        <v>5</v>
      </c>
      <c r="E48" s="39" t="s">
        <v>6</v>
      </c>
      <c r="F48" s="24" t="s">
        <v>7</v>
      </c>
      <c r="G48" s="24" t="s">
        <v>9</v>
      </c>
      <c r="H48" s="24" t="s">
        <v>11</v>
      </c>
      <c r="I48" s="24" t="s">
        <v>12</v>
      </c>
      <c r="J48" s="24" t="s">
        <v>50</v>
      </c>
      <c r="K48" s="24" t="s">
        <v>51</v>
      </c>
      <c r="L48" s="39" t="s">
        <v>16</v>
      </c>
      <c r="M48" s="24" t="s">
        <v>52</v>
      </c>
      <c r="N48" s="40" t="s">
        <v>53</v>
      </c>
      <c r="O48" s="3"/>
    </row>
    <row r="49">
      <c r="A49" s="42" t="s">
        <v>21</v>
      </c>
      <c r="B49" s="43">
        <f>1122761+1294+18190</f>
        <v>1142245</v>
      </c>
      <c r="C49" s="44">
        <f t="shared" ref="C49:C65" si="37">K49+H49</f>
        <v>616920</v>
      </c>
      <c r="D49" s="45">
        <f t="shared" ref="D49:D65" si="38">B49-C49</f>
        <v>525325</v>
      </c>
      <c r="E49" s="11">
        <f t="shared" ref="E49:E52" si="39">D49/B49*100</f>
        <v>45.9905712</v>
      </c>
      <c r="F49" s="46">
        <f t="shared" ref="F49:F52" si="40">D49/I49</f>
        <v>412.6669285</v>
      </c>
      <c r="G49" s="47">
        <f>1352+1+11</f>
        <v>1364</v>
      </c>
      <c r="H49" s="14">
        <f>220*I49</f>
        <v>280060</v>
      </c>
      <c r="I49" s="48">
        <f>1262+1+10</f>
        <v>1273</v>
      </c>
      <c r="J49" s="14">
        <f t="shared" ref="J49:J65" si="41">G49-I49</f>
        <v>91</v>
      </c>
      <c r="K49" s="49">
        <f>333539+217+3104</f>
        <v>336860</v>
      </c>
      <c r="L49" s="50">
        <f t="shared" ref="L49:L52" si="42">J49/G49*100</f>
        <v>6.671554252</v>
      </c>
      <c r="M49" s="185"/>
      <c r="N49" s="52">
        <f>J49*999</f>
        <v>90909</v>
      </c>
      <c r="O49" s="53" t="str">
        <f t="shared" ref="O49:O65" si="43">B49/M49</f>
        <v>#DIV/0!</v>
      </c>
      <c r="P49" s="54">
        <f>B49/B66*100</f>
        <v>28.09407578</v>
      </c>
    </row>
    <row r="50">
      <c r="A50" s="42" t="s">
        <v>23</v>
      </c>
      <c r="B50" s="43">
        <f>2898+1035189</f>
        <v>1038087</v>
      </c>
      <c r="C50" s="44">
        <f t="shared" si="37"/>
        <v>509612.55</v>
      </c>
      <c r="D50" s="45">
        <f t="shared" si="38"/>
        <v>528474.45</v>
      </c>
      <c r="E50" s="11">
        <f t="shared" si="39"/>
        <v>50.90849322</v>
      </c>
      <c r="F50" s="46">
        <f t="shared" si="40"/>
        <v>545.3812693</v>
      </c>
      <c r="G50" s="47">
        <f>1048+2</f>
        <v>1050</v>
      </c>
      <c r="H50" s="14">
        <f>304*I50</f>
        <v>294576</v>
      </c>
      <c r="I50" s="48">
        <f>967+2</f>
        <v>969</v>
      </c>
      <c r="J50" s="14">
        <f t="shared" si="41"/>
        <v>81</v>
      </c>
      <c r="K50" s="49">
        <f>461.28+214575.27 </f>
        <v>215036.55</v>
      </c>
      <c r="L50" s="50">
        <f t="shared" si="42"/>
        <v>7.714285714</v>
      </c>
      <c r="M50" s="185"/>
      <c r="N50" s="52">
        <f>J50*1119</f>
        <v>90639</v>
      </c>
      <c r="O50" s="53" t="str">
        <f t="shared" si="43"/>
        <v>#DIV/0!</v>
      </c>
      <c r="P50" s="54">
        <f>B50/B66*100</f>
        <v>25.53225871</v>
      </c>
    </row>
    <row r="51">
      <c r="A51" s="42" t="s">
        <v>25</v>
      </c>
      <c r="B51" s="43">
        <f>86544</f>
        <v>86544</v>
      </c>
      <c r="C51" s="44">
        <f t="shared" si="37"/>
        <v>61310</v>
      </c>
      <c r="D51" s="45">
        <f t="shared" si="38"/>
        <v>25234</v>
      </c>
      <c r="E51" s="11">
        <f t="shared" si="39"/>
        <v>29.15742281</v>
      </c>
      <c r="F51" s="46">
        <f t="shared" si="40"/>
        <v>371.0882353</v>
      </c>
      <c r="G51" s="47">
        <v>77.0</v>
      </c>
      <c r="H51" s="14">
        <f> 662*I51</f>
        <v>45016</v>
      </c>
      <c r="I51" s="48">
        <v>68.0</v>
      </c>
      <c r="J51" s="14">
        <f t="shared" si="41"/>
        <v>9</v>
      </c>
      <c r="K51" s="49">
        <v>16294.0</v>
      </c>
      <c r="L51" s="50">
        <f t="shared" si="42"/>
        <v>11.68831169</v>
      </c>
      <c r="M51" s="28"/>
      <c r="N51" s="52">
        <f>J51*1799</f>
        <v>16191</v>
      </c>
      <c r="O51" s="53" t="str">
        <f t="shared" si="43"/>
        <v>#DIV/0!</v>
      </c>
      <c r="P51" s="54">
        <f>B51/B66*100</f>
        <v>2.12859211</v>
      </c>
    </row>
    <row r="52">
      <c r="A52" s="42" t="s">
        <v>26</v>
      </c>
      <c r="B52" s="43">
        <f>1293+288127+1196+5990</f>
        <v>296606</v>
      </c>
      <c r="C52" s="44">
        <f t="shared" si="37"/>
        <v>218222</v>
      </c>
      <c r="D52" s="45">
        <f t="shared" si="38"/>
        <v>78384</v>
      </c>
      <c r="E52" s="11">
        <f t="shared" si="39"/>
        <v>26.4269772</v>
      </c>
      <c r="F52" s="46">
        <f t="shared" si="40"/>
        <v>115.1013216</v>
      </c>
      <c r="G52" s="47">
        <f>712+2+7+1</f>
        <v>722</v>
      </c>
      <c r="H52" s="14">
        <f>184*I52</f>
        <v>125304</v>
      </c>
      <c r="I52" s="48">
        <f>672+2+7</f>
        <v>681</v>
      </c>
      <c r="J52" s="14">
        <f t="shared" si="41"/>
        <v>41</v>
      </c>
      <c r="K52" s="49">
        <f>91467+446+740+265</f>
        <v>92918</v>
      </c>
      <c r="L52" s="50">
        <f t="shared" si="42"/>
        <v>5.67867036</v>
      </c>
      <c r="M52" s="28"/>
      <c r="N52" s="52">
        <f>J52*499</f>
        <v>20459</v>
      </c>
      <c r="O52" s="53" t="str">
        <f t="shared" si="43"/>
        <v>#DIV/0!</v>
      </c>
      <c r="P52" s="54">
        <f>B52/B66*100</f>
        <v>7.295169987</v>
      </c>
    </row>
    <row r="53">
      <c r="A53" s="42" t="s">
        <v>28</v>
      </c>
      <c r="B53" s="43">
        <v>0.0</v>
      </c>
      <c r="C53" s="44">
        <f t="shared" si="37"/>
        <v>0</v>
      </c>
      <c r="D53" s="45">
        <f t="shared" si="38"/>
        <v>0</v>
      </c>
      <c r="E53" s="11" t="s">
        <v>148</v>
      </c>
      <c r="F53" s="46" t="s">
        <v>148</v>
      </c>
      <c r="G53" s="47">
        <v>0.0</v>
      </c>
      <c r="H53" s="14">
        <f>250*I53</f>
        <v>0</v>
      </c>
      <c r="I53" s="48">
        <v>0.0</v>
      </c>
      <c r="J53" s="14">
        <f t="shared" si="41"/>
        <v>0</v>
      </c>
      <c r="K53" s="49">
        <v>0.0</v>
      </c>
      <c r="L53" s="50" t="s">
        <v>148</v>
      </c>
      <c r="M53" s="28"/>
      <c r="N53" s="52">
        <f>J53*1049</f>
        <v>0</v>
      </c>
      <c r="O53" s="53" t="str">
        <f t="shared" si="43"/>
        <v>#DIV/0!</v>
      </c>
      <c r="P53" s="54">
        <f>B53/B66*100</f>
        <v>0</v>
      </c>
    </row>
    <row r="54">
      <c r="A54" s="42" t="s">
        <v>29</v>
      </c>
      <c r="B54" s="43">
        <f>271667+2896</f>
        <v>274563</v>
      </c>
      <c r="C54" s="44">
        <f t="shared" si="37"/>
        <v>208263</v>
      </c>
      <c r="D54" s="45">
        <f t="shared" si="38"/>
        <v>66300</v>
      </c>
      <c r="E54" s="11">
        <f t="shared" ref="E54:E55" si="44">D54/B54*100</f>
        <v>24.14746342</v>
      </c>
      <c r="F54" s="46">
        <f t="shared" ref="F54:F55" si="45">D54/I54</f>
        <v>254.0229885</v>
      </c>
      <c r="G54" s="47">
        <f>296+2</f>
        <v>298</v>
      </c>
      <c r="H54" s="14">
        <f>308*I54</f>
        <v>80388</v>
      </c>
      <c r="I54" s="48">
        <f>259+2</f>
        <v>261</v>
      </c>
      <c r="J54" s="14">
        <f t="shared" si="41"/>
        <v>37</v>
      </c>
      <c r="K54" s="49">
        <f>126866+1009</f>
        <v>127875</v>
      </c>
      <c r="L54" s="50">
        <f t="shared" ref="L54:L55" si="46">J54/G54*100</f>
        <v>12.41610738</v>
      </c>
      <c r="M54" s="186"/>
      <c r="N54" s="52">
        <f>J54*1249</f>
        <v>46213</v>
      </c>
      <c r="O54" s="53" t="str">
        <f t="shared" si="43"/>
        <v>#DIV/0!</v>
      </c>
      <c r="P54" s="54">
        <f>B54/B66*100</f>
        <v>6.753011595</v>
      </c>
    </row>
    <row r="55">
      <c r="A55" s="42" t="s">
        <v>31</v>
      </c>
      <c r="B55" s="43">
        <f>8221+54336</f>
        <v>62557</v>
      </c>
      <c r="C55" s="44">
        <f t="shared" si="37"/>
        <v>76163</v>
      </c>
      <c r="D55" s="45">
        <f t="shared" si="38"/>
        <v>-13606</v>
      </c>
      <c r="E55" s="11">
        <f t="shared" si="44"/>
        <v>-21.74976422</v>
      </c>
      <c r="F55" s="46">
        <f t="shared" si="45"/>
        <v>-238.7017544</v>
      </c>
      <c r="G55" s="47">
        <f>52+11</f>
        <v>63</v>
      </c>
      <c r="H55" s="14">
        <f>435*I55</f>
        <v>24795</v>
      </c>
      <c r="I55" s="48">
        <f>8+49</f>
        <v>57</v>
      </c>
      <c r="J55" s="14">
        <f t="shared" si="41"/>
        <v>6</v>
      </c>
      <c r="K55" s="49">
        <f>37903+13465</f>
        <v>51368</v>
      </c>
      <c r="L55" s="50">
        <f t="shared" si="46"/>
        <v>9.523809524</v>
      </c>
      <c r="M55" s="28"/>
      <c r="N55" s="52">
        <f>J55*1349</f>
        <v>8094</v>
      </c>
      <c r="O55" s="53" t="str">
        <f t="shared" si="43"/>
        <v>#DIV/0!</v>
      </c>
      <c r="P55" s="54">
        <f>B55/B66*100</f>
        <v>1.538620085</v>
      </c>
    </row>
    <row r="56">
      <c r="A56" s="42" t="s">
        <v>32</v>
      </c>
      <c r="B56" s="43">
        <v>0.0</v>
      </c>
      <c r="C56" s="44">
        <f t="shared" si="37"/>
        <v>0</v>
      </c>
      <c r="D56" s="45">
        <f t="shared" si="38"/>
        <v>0</v>
      </c>
      <c r="E56" s="11" t="s">
        <v>148</v>
      </c>
      <c r="F56" s="46" t="s">
        <v>148</v>
      </c>
      <c r="G56" s="47">
        <v>0.0</v>
      </c>
      <c r="H56" s="14">
        <f>800*I56</f>
        <v>0</v>
      </c>
      <c r="I56" s="48">
        <v>0.0</v>
      </c>
      <c r="J56" s="14">
        <f t="shared" si="41"/>
        <v>0</v>
      </c>
      <c r="K56" s="49">
        <v>0.0</v>
      </c>
      <c r="L56" s="50" t="s">
        <v>148</v>
      </c>
      <c r="M56" s="28"/>
      <c r="N56" s="52">
        <f>J56*1899</f>
        <v>0</v>
      </c>
      <c r="O56" s="53" t="str">
        <f t="shared" si="43"/>
        <v>#DIV/0!</v>
      </c>
      <c r="P56" s="54">
        <f>B56/B66*100</f>
        <v>0</v>
      </c>
    </row>
    <row r="57">
      <c r="A57" s="42" t="s">
        <v>33</v>
      </c>
      <c r="B57" s="43">
        <f>578784</f>
        <v>578784</v>
      </c>
      <c r="C57" s="44">
        <f t="shared" si="37"/>
        <v>397120</v>
      </c>
      <c r="D57" s="45">
        <f t="shared" si="38"/>
        <v>181664</v>
      </c>
      <c r="E57" s="11">
        <f t="shared" ref="E57:E58" si="47">D57/B57*100</f>
        <v>31.38718417</v>
      </c>
      <c r="F57" s="46">
        <f t="shared" ref="F57:F58" si="48">D57/I57</f>
        <v>517.5612536</v>
      </c>
      <c r="G57" s="47">
        <v>397.0</v>
      </c>
      <c r="H57" s="14">
        <f>778*I57</f>
        <v>273078</v>
      </c>
      <c r="I57" s="48">
        <v>351.0</v>
      </c>
      <c r="J57" s="14">
        <f t="shared" si="41"/>
        <v>46</v>
      </c>
      <c r="K57" s="49">
        <f>124042</f>
        <v>124042</v>
      </c>
      <c r="L57" s="50">
        <f t="shared" ref="L57:L58" si="49">J57/G57*100</f>
        <v>11.58690176</v>
      </c>
      <c r="M57" s="28"/>
      <c r="N57" s="52">
        <f>J57*1999</f>
        <v>91954</v>
      </c>
      <c r="O57" s="53" t="str">
        <f t="shared" si="43"/>
        <v>#DIV/0!</v>
      </c>
      <c r="P57" s="54">
        <f>B57/B66*100</f>
        <v>14.23547624</v>
      </c>
    </row>
    <row r="58">
      <c r="A58" s="42" t="s">
        <v>54</v>
      </c>
      <c r="B58" s="43">
        <f>32076</f>
        <v>32076</v>
      </c>
      <c r="C58" s="44">
        <f t="shared" si="37"/>
        <v>13386</v>
      </c>
      <c r="D58" s="45">
        <f t="shared" si="38"/>
        <v>18690</v>
      </c>
      <c r="E58" s="11">
        <f t="shared" si="47"/>
        <v>58.26786382</v>
      </c>
      <c r="F58" s="46">
        <f t="shared" si="48"/>
        <v>6230</v>
      </c>
      <c r="G58" s="47">
        <f>66</f>
        <v>66</v>
      </c>
      <c r="H58" s="14">
        <f>200*I58</f>
        <v>600</v>
      </c>
      <c r="I58" s="48">
        <f>3</f>
        <v>3</v>
      </c>
      <c r="J58" s="14">
        <f t="shared" si="41"/>
        <v>63</v>
      </c>
      <c r="K58" s="49">
        <f>12786</f>
        <v>12786</v>
      </c>
      <c r="L58" s="50">
        <f t="shared" si="49"/>
        <v>95.45454545</v>
      </c>
      <c r="M58" s="28"/>
      <c r="N58" s="52">
        <f>J58*599</f>
        <v>37737</v>
      </c>
      <c r="O58" s="53" t="str">
        <f t="shared" si="43"/>
        <v>#DIV/0!</v>
      </c>
      <c r="P58" s="54">
        <f>B58/B66*100</f>
        <v>0.7889249459</v>
      </c>
    </row>
    <row r="59">
      <c r="A59" s="42" t="s">
        <v>55</v>
      </c>
      <c r="B59" s="43">
        <v>0.0</v>
      </c>
      <c r="C59" s="44">
        <f t="shared" si="37"/>
        <v>0</v>
      </c>
      <c r="D59" s="45">
        <f t="shared" si="38"/>
        <v>0</v>
      </c>
      <c r="E59" s="11" t="s">
        <v>148</v>
      </c>
      <c r="F59" s="46" t="s">
        <v>148</v>
      </c>
      <c r="G59" s="47">
        <v>0.0</v>
      </c>
      <c r="H59" s="14">
        <f>(270+220)*I59</f>
        <v>0</v>
      </c>
      <c r="I59" s="48">
        <v>0.0</v>
      </c>
      <c r="J59" s="14">
        <f t="shared" si="41"/>
        <v>0</v>
      </c>
      <c r="K59" s="49">
        <v>0.0</v>
      </c>
      <c r="L59" s="50" t="s">
        <v>148</v>
      </c>
      <c r="M59" s="28"/>
      <c r="N59" s="56"/>
      <c r="O59" s="53" t="str">
        <f t="shared" si="43"/>
        <v>#DIV/0!</v>
      </c>
      <c r="P59" s="54">
        <f>B59/B66*100</f>
        <v>0</v>
      </c>
    </row>
    <row r="60">
      <c r="A60" s="42" t="s">
        <v>56</v>
      </c>
      <c r="B60" s="43">
        <f>2249</f>
        <v>2249</v>
      </c>
      <c r="C60" s="44">
        <f t="shared" si="37"/>
        <v>1419</v>
      </c>
      <c r="D60" s="45">
        <f t="shared" si="38"/>
        <v>830</v>
      </c>
      <c r="E60" s="11">
        <f t="shared" ref="E60:E65" si="50">D60/B60*100</f>
        <v>36.90529124</v>
      </c>
      <c r="F60" s="46" t="str">
        <f t="shared" ref="F60:F65" si="51">D60/I60</f>
        <v>#DIV/0!</v>
      </c>
      <c r="G60" s="47">
        <v>3.0</v>
      </c>
      <c r="H60" s="14">
        <f>(270+350)*I60</f>
        <v>0</v>
      </c>
      <c r="I60" s="48">
        <v>0.0</v>
      </c>
      <c r="J60" s="14">
        <f t="shared" si="41"/>
        <v>3</v>
      </c>
      <c r="K60" s="49">
        <f>1419</f>
        <v>1419</v>
      </c>
      <c r="L60" s="50">
        <f t="shared" ref="L60:L65" si="52">J60/G60*100</f>
        <v>100</v>
      </c>
      <c r="M60" s="28"/>
      <c r="N60" s="52">
        <f>J60*2199</f>
        <v>6597</v>
      </c>
      <c r="O60" s="53" t="str">
        <f t="shared" si="43"/>
        <v>#DIV/0!</v>
      </c>
      <c r="P60" s="54">
        <f>B60/B66*100</f>
        <v>0.05531525762</v>
      </c>
    </row>
    <row r="61">
      <c r="A61" s="42" t="s">
        <v>57</v>
      </c>
      <c r="B61" s="43">
        <f>1999</f>
        <v>1999</v>
      </c>
      <c r="C61" s="44">
        <f t="shared" si="37"/>
        <v>939</v>
      </c>
      <c r="D61" s="45">
        <f t="shared" si="38"/>
        <v>1060</v>
      </c>
      <c r="E61" s="11">
        <f t="shared" si="50"/>
        <v>53.02651326</v>
      </c>
      <c r="F61" s="46">
        <f t="shared" si="51"/>
        <v>1060</v>
      </c>
      <c r="G61" s="47">
        <v>1.0</v>
      </c>
      <c r="H61" s="14">
        <f>(270+320)*I61</f>
        <v>590</v>
      </c>
      <c r="I61" s="48">
        <v>1.0</v>
      </c>
      <c r="J61" s="14">
        <f t="shared" si="41"/>
        <v>0</v>
      </c>
      <c r="K61" s="49">
        <v>349.0</v>
      </c>
      <c r="L61" s="50">
        <f t="shared" si="52"/>
        <v>0</v>
      </c>
      <c r="M61" s="28"/>
      <c r="N61" s="52">
        <f>J61*999</f>
        <v>0</v>
      </c>
      <c r="O61" s="53" t="str">
        <f t="shared" si="43"/>
        <v>#DIV/0!</v>
      </c>
      <c r="P61" s="54">
        <f>B61/B66*100</f>
        <v>0.04916638505</v>
      </c>
    </row>
    <row r="62">
      <c r="A62" s="42" t="s">
        <v>58</v>
      </c>
      <c r="B62" s="43">
        <f>49214</f>
        <v>49214</v>
      </c>
      <c r="C62" s="44">
        <f t="shared" si="37"/>
        <v>30494</v>
      </c>
      <c r="D62" s="45">
        <f t="shared" si="38"/>
        <v>18720</v>
      </c>
      <c r="E62" s="11">
        <f t="shared" si="50"/>
        <v>38.03795668</v>
      </c>
      <c r="F62" s="46">
        <f t="shared" si="51"/>
        <v>480</v>
      </c>
      <c r="G62" s="47">
        <v>43.0</v>
      </c>
      <c r="H62" s="14">
        <f>(350+220)*I62</f>
        <v>22230</v>
      </c>
      <c r="I62" s="48">
        <v>39.0</v>
      </c>
      <c r="J62" s="14">
        <f t="shared" si="41"/>
        <v>4</v>
      </c>
      <c r="K62" s="49">
        <f>8264</f>
        <v>8264</v>
      </c>
      <c r="L62" s="50">
        <f t="shared" si="52"/>
        <v>9.302325581</v>
      </c>
      <c r="M62" s="28"/>
      <c r="N62" s="52">
        <f>J62*1499</f>
        <v>5996</v>
      </c>
      <c r="O62" s="53" t="str">
        <f t="shared" si="43"/>
        <v>#DIV/0!</v>
      </c>
      <c r="P62" s="54">
        <f>B62/B66*100</f>
        <v>1.210442458</v>
      </c>
    </row>
    <row r="63">
      <c r="A63" s="42" t="s">
        <v>59</v>
      </c>
      <c r="B63" s="43">
        <f>15144</f>
        <v>15144</v>
      </c>
      <c r="C63" s="44">
        <f t="shared" si="37"/>
        <v>15878</v>
      </c>
      <c r="D63" s="45">
        <f t="shared" si="38"/>
        <v>-734</v>
      </c>
      <c r="E63" s="11">
        <f t="shared" si="50"/>
        <v>-4.846804015</v>
      </c>
      <c r="F63" s="46">
        <f t="shared" si="51"/>
        <v>-104.8571429</v>
      </c>
      <c r="G63" s="47">
        <v>8.0</v>
      </c>
      <c r="H63" s="14">
        <f>(350+320)*I63</f>
        <v>4690</v>
      </c>
      <c r="I63" s="48">
        <v>7.0</v>
      </c>
      <c r="J63" s="14">
        <f t="shared" si="41"/>
        <v>1</v>
      </c>
      <c r="K63" s="49">
        <f>11188</f>
        <v>11188</v>
      </c>
      <c r="L63" s="50">
        <f t="shared" si="52"/>
        <v>12.5</v>
      </c>
      <c r="M63" s="187"/>
      <c r="N63" s="52">
        <f t="shared" ref="N63:N65" si="53">J63*999</f>
        <v>999</v>
      </c>
      <c r="O63" s="53" t="str">
        <f t="shared" si="43"/>
        <v>#DIV/0!</v>
      </c>
      <c r="P63" s="54">
        <f>B63/B66*100</f>
        <v>0.3724741046</v>
      </c>
    </row>
    <row r="64">
      <c r="A64" s="42" t="s">
        <v>149</v>
      </c>
      <c r="B64" s="43">
        <f>160227+242559</f>
        <v>402786</v>
      </c>
      <c r="C64" s="44">
        <f t="shared" si="37"/>
        <v>272608</v>
      </c>
      <c r="D64" s="45">
        <f t="shared" si="38"/>
        <v>130178</v>
      </c>
      <c r="E64" s="11">
        <f t="shared" si="50"/>
        <v>32.31939541</v>
      </c>
      <c r="F64" s="46">
        <f t="shared" si="51"/>
        <v>295.1882086</v>
      </c>
      <c r="G64" s="47">
        <f>180+275</f>
        <v>455</v>
      </c>
      <c r="H64" s="14">
        <f t="shared" ref="H64:H65" si="54">(330)*I64</f>
        <v>145530</v>
      </c>
      <c r="I64" s="48">
        <f>175+266</f>
        <v>441</v>
      </c>
      <c r="J64" s="14">
        <f t="shared" si="41"/>
        <v>14</v>
      </c>
      <c r="K64" s="49">
        <f>73941+53137</f>
        <v>127078</v>
      </c>
      <c r="L64" s="50">
        <f t="shared" si="52"/>
        <v>3.076923077</v>
      </c>
      <c r="M64" s="28"/>
      <c r="N64" s="52">
        <f t="shared" si="53"/>
        <v>13986</v>
      </c>
      <c r="O64" s="53" t="str">
        <f t="shared" si="43"/>
        <v>#DIV/0!</v>
      </c>
      <c r="P64" s="54">
        <f>B64/B66*100</f>
        <v>9.906719144</v>
      </c>
    </row>
    <row r="65">
      <c r="A65" s="42" t="s">
        <v>131</v>
      </c>
      <c r="B65" s="43">
        <f>82932</f>
        <v>82932</v>
      </c>
      <c r="C65" s="44">
        <f t="shared" si="37"/>
        <v>44330</v>
      </c>
      <c r="D65" s="45">
        <f t="shared" si="38"/>
        <v>38602</v>
      </c>
      <c r="E65" s="11">
        <f t="shared" si="50"/>
        <v>46.54656827</v>
      </c>
      <c r="F65" s="46">
        <f t="shared" si="51"/>
        <v>756.9019608</v>
      </c>
      <c r="G65" s="47">
        <v>57.0</v>
      </c>
      <c r="H65" s="14">
        <f t="shared" si="54"/>
        <v>16830</v>
      </c>
      <c r="I65" s="48">
        <v>51.0</v>
      </c>
      <c r="J65" s="14">
        <f t="shared" si="41"/>
        <v>6</v>
      </c>
      <c r="K65" s="49">
        <f>27500</f>
        <v>27500</v>
      </c>
      <c r="L65" s="50">
        <f t="shared" si="52"/>
        <v>10.52631579</v>
      </c>
      <c r="M65" s="28"/>
      <c r="N65" s="52">
        <f t="shared" si="53"/>
        <v>5994</v>
      </c>
      <c r="O65" s="53" t="str">
        <f t="shared" si="43"/>
        <v>#DIV/0!</v>
      </c>
      <c r="P65" s="54"/>
    </row>
    <row r="66">
      <c r="A66" s="3" t="s">
        <v>38</v>
      </c>
      <c r="B66" s="41">
        <f t="shared" ref="B66:D66" si="55">SUM(B49:B65)</f>
        <v>4065786</v>
      </c>
      <c r="C66" s="41">
        <f t="shared" si="55"/>
        <v>2466664.55</v>
      </c>
      <c r="D66" s="53">
        <f t="shared" si="55"/>
        <v>1599121.45</v>
      </c>
      <c r="E66" s="41"/>
      <c r="F66" s="41"/>
      <c r="G66" s="41">
        <f t="shared" ref="G66:K66" si="56">SUM(G49:G65)</f>
        <v>4604</v>
      </c>
      <c r="H66" s="41">
        <f t="shared" si="56"/>
        <v>1313687</v>
      </c>
      <c r="I66" s="41">
        <f t="shared" si="56"/>
        <v>4202</v>
      </c>
      <c r="J66" s="41">
        <f t="shared" si="56"/>
        <v>402</v>
      </c>
      <c r="K66" s="41">
        <f t="shared" si="56"/>
        <v>1152977.55</v>
      </c>
      <c r="L66" s="41"/>
      <c r="M66" s="41"/>
      <c r="N66" s="3"/>
      <c r="O66" s="3"/>
    </row>
    <row r="69">
      <c r="A69" s="115" t="s">
        <v>40</v>
      </c>
      <c r="B69" s="116">
        <f>B66</f>
        <v>4065786</v>
      </c>
      <c r="C69" s="3"/>
      <c r="D69" s="3"/>
      <c r="E69" s="3"/>
      <c r="F69" s="3"/>
    </row>
    <row r="70">
      <c r="A70" s="117" t="s">
        <v>41</v>
      </c>
      <c r="B70" s="118">
        <f>H66</f>
        <v>1313687</v>
      </c>
      <c r="C70" s="3"/>
      <c r="D70" s="30" t="s">
        <v>39</v>
      </c>
      <c r="E70" s="3"/>
      <c r="F70" s="3"/>
      <c r="G70" s="168">
        <v>0.4</v>
      </c>
      <c r="H70" s="58">
        <f>B71*G70</f>
        <v>184476.408</v>
      </c>
    </row>
    <row r="71">
      <c r="A71" s="119" t="s">
        <v>143</v>
      </c>
      <c r="B71" s="120">
        <v>461191.02</v>
      </c>
      <c r="C71" s="3"/>
      <c r="D71" s="33" t="s">
        <v>41</v>
      </c>
      <c r="E71" s="34">
        <f>B70/I66</f>
        <v>312.6337458</v>
      </c>
      <c r="F71" s="59"/>
      <c r="G71" s="168">
        <v>0.3</v>
      </c>
      <c r="H71" s="58">
        <f>B71*G71</f>
        <v>138357.306</v>
      </c>
    </row>
    <row r="72">
      <c r="A72" s="121" t="s">
        <v>61</v>
      </c>
      <c r="B72" s="122">
        <v>345893.265</v>
      </c>
      <c r="C72" s="3"/>
      <c r="D72" s="33" t="s">
        <v>42</v>
      </c>
      <c r="E72" s="34">
        <f>B72/I66</f>
        <v>82.31634103</v>
      </c>
      <c r="F72" s="59"/>
      <c r="G72" s="168">
        <v>0.3</v>
      </c>
      <c r="H72" s="58">
        <f>B71*G72</f>
        <v>138357.306</v>
      </c>
    </row>
    <row r="73">
      <c r="A73" s="121" t="s">
        <v>44</v>
      </c>
      <c r="B73" s="122">
        <v>345893.265</v>
      </c>
      <c r="C73" s="3"/>
      <c r="D73" s="33"/>
      <c r="E73" s="34"/>
      <c r="F73" s="59"/>
    </row>
    <row r="74">
      <c r="A74" s="123" t="s">
        <v>62</v>
      </c>
      <c r="B74" s="124">
        <f>B69-SUM(B70:B73)</f>
        <v>1599121.45</v>
      </c>
      <c r="C74" s="3"/>
      <c r="D74" s="33" t="s">
        <v>63</v>
      </c>
      <c r="E74" s="34">
        <f>B71/I66</f>
        <v>109.7551214</v>
      </c>
      <c r="F74" s="61"/>
    </row>
    <row r="75">
      <c r="A75" s="125" t="s">
        <v>47</v>
      </c>
      <c r="B75" s="126">
        <f>B74/B69*100</f>
        <v>39.33117606</v>
      </c>
      <c r="C75" s="3"/>
      <c r="D75" s="33" t="s">
        <v>45</v>
      </c>
      <c r="E75" s="34">
        <f>B69/I66</f>
        <v>967.5835317</v>
      </c>
      <c r="F75" s="3"/>
    </row>
    <row r="77">
      <c r="B77" s="60"/>
    </row>
    <row r="82">
      <c r="A82" s="1" t="s">
        <v>144</v>
      </c>
      <c r="B82" s="2" t="s">
        <v>64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>
      <c r="A84" s="38" t="s">
        <v>49</v>
      </c>
      <c r="B84" s="24" t="s">
        <v>3</v>
      </c>
      <c r="C84" s="24" t="s">
        <v>4</v>
      </c>
      <c r="D84" s="24" t="s">
        <v>5</v>
      </c>
      <c r="E84" s="39" t="s">
        <v>6</v>
      </c>
      <c r="F84" s="24" t="s">
        <v>7</v>
      </c>
      <c r="G84" s="24" t="s">
        <v>9</v>
      </c>
      <c r="H84" s="24" t="s">
        <v>11</v>
      </c>
      <c r="I84" s="24" t="s">
        <v>12</v>
      </c>
      <c r="J84" s="24" t="s">
        <v>50</v>
      </c>
      <c r="K84" s="24" t="s">
        <v>65</v>
      </c>
      <c r="L84" s="39" t="s">
        <v>16</v>
      </c>
      <c r="M84" s="24" t="s">
        <v>52</v>
      </c>
    </row>
    <row r="85">
      <c r="A85" s="42" t="s">
        <v>21</v>
      </c>
      <c r="B85" s="43">
        <f>12758</f>
        <v>12758</v>
      </c>
      <c r="C85" s="44">
        <f t="shared" ref="C85:C97" si="57">K85+H85</f>
        <v>7069.07</v>
      </c>
      <c r="D85" s="45">
        <f t="shared" ref="D85:D97" si="58">B85-C85</f>
        <v>5688.93</v>
      </c>
      <c r="E85" s="11">
        <f t="shared" ref="E85:E97" si="59">D85/B85*100</f>
        <v>44.59108011</v>
      </c>
      <c r="F85" s="46">
        <f t="shared" ref="F85:F97" si="60">D85/I85</f>
        <v>316.0516667</v>
      </c>
      <c r="G85" s="47">
        <v>23.0</v>
      </c>
      <c r="H85" s="14">
        <f>270*I85</f>
        <v>4860</v>
      </c>
      <c r="I85" s="48">
        <v>18.0</v>
      </c>
      <c r="J85" s="14">
        <f t="shared" ref="J85:J97" si="61">G85-I85</f>
        <v>5</v>
      </c>
      <c r="K85" s="49">
        <f>2209.07</f>
        <v>2209.07</v>
      </c>
      <c r="L85" s="50">
        <f t="shared" ref="L85:L97" si="62">J85/G85*100</f>
        <v>21.73913043</v>
      </c>
      <c r="M85" s="51"/>
      <c r="P85" s="54"/>
    </row>
    <row r="86">
      <c r="A86" s="42" t="s">
        <v>23</v>
      </c>
      <c r="B86" s="43">
        <f>38437</f>
        <v>38437</v>
      </c>
      <c r="C86" s="44">
        <f t="shared" si="57"/>
        <v>21733.85</v>
      </c>
      <c r="D86" s="45">
        <f t="shared" si="58"/>
        <v>16703.15</v>
      </c>
      <c r="E86" s="11">
        <f t="shared" si="59"/>
        <v>43.45591487</v>
      </c>
      <c r="F86" s="46">
        <f t="shared" si="60"/>
        <v>388.4453488</v>
      </c>
      <c r="G86" s="47">
        <v>64.0</v>
      </c>
      <c r="H86" s="14">
        <f>350*I86</f>
        <v>15050</v>
      </c>
      <c r="I86" s="48">
        <v>43.0</v>
      </c>
      <c r="J86" s="14">
        <f t="shared" si="61"/>
        <v>21</v>
      </c>
      <c r="K86" s="49">
        <f>6683.85</f>
        <v>6683.85</v>
      </c>
      <c r="L86" s="50">
        <f t="shared" si="62"/>
        <v>32.8125</v>
      </c>
      <c r="M86" s="51"/>
      <c r="P86" s="54"/>
    </row>
    <row r="87">
      <c r="A87" s="42" t="s">
        <v>25</v>
      </c>
      <c r="B87" s="43">
        <v>0.0</v>
      </c>
      <c r="C87" s="44">
        <f t="shared" si="57"/>
        <v>0</v>
      </c>
      <c r="D87" s="45">
        <f t="shared" si="58"/>
        <v>0</v>
      </c>
      <c r="E87" s="11" t="str">
        <f t="shared" si="59"/>
        <v>#DIV/0!</v>
      </c>
      <c r="F87" s="46" t="str">
        <f t="shared" si="60"/>
        <v>#DIV/0!</v>
      </c>
      <c r="G87" s="47">
        <v>0.0</v>
      </c>
      <c r="H87" s="14">
        <f> 980*I87</f>
        <v>0</v>
      </c>
      <c r="I87" s="48">
        <v>0.0</v>
      </c>
      <c r="J87" s="14">
        <f t="shared" si="61"/>
        <v>0</v>
      </c>
      <c r="K87" s="49">
        <v>0.0</v>
      </c>
      <c r="L87" s="50" t="str">
        <f t="shared" si="62"/>
        <v>#DIV/0!</v>
      </c>
      <c r="M87" s="51"/>
      <c r="P87" s="54"/>
    </row>
    <row r="88">
      <c r="A88" s="42" t="s">
        <v>26</v>
      </c>
      <c r="B88" s="43">
        <f>47492+1911</f>
        <v>49403</v>
      </c>
      <c r="C88" s="44">
        <f t="shared" si="57"/>
        <v>29920</v>
      </c>
      <c r="D88" s="45">
        <f t="shared" si="58"/>
        <v>19483</v>
      </c>
      <c r="E88" s="11">
        <f t="shared" si="59"/>
        <v>39.4368763</v>
      </c>
      <c r="F88" s="46">
        <f t="shared" si="60"/>
        <v>143.2573529</v>
      </c>
      <c r="G88" s="47">
        <v>178.0</v>
      </c>
      <c r="H88" s="14">
        <f>220*I88</f>
        <v>29920</v>
      </c>
      <c r="I88" s="48">
        <v>136.0</v>
      </c>
      <c r="J88" s="14">
        <f t="shared" si="61"/>
        <v>42</v>
      </c>
      <c r="K88" s="49">
        <v>0.0</v>
      </c>
      <c r="L88" s="50">
        <f t="shared" si="62"/>
        <v>23.59550562</v>
      </c>
      <c r="M88" s="51"/>
      <c r="P88" s="54"/>
    </row>
    <row r="89">
      <c r="A89" s="42" t="s">
        <v>28</v>
      </c>
      <c r="B89" s="43">
        <v>0.0</v>
      </c>
      <c r="C89" s="44">
        <f t="shared" si="57"/>
        <v>0</v>
      </c>
      <c r="D89" s="45">
        <f t="shared" si="58"/>
        <v>0</v>
      </c>
      <c r="E89" s="11" t="str">
        <f t="shared" si="59"/>
        <v>#DIV/0!</v>
      </c>
      <c r="F89" s="46" t="str">
        <f t="shared" si="60"/>
        <v>#DIV/0!</v>
      </c>
      <c r="G89" s="47">
        <v>0.0</v>
      </c>
      <c r="H89" s="14">
        <f>270*I89</f>
        <v>0</v>
      </c>
      <c r="I89" s="48">
        <v>0.0</v>
      </c>
      <c r="J89" s="14">
        <f t="shared" si="61"/>
        <v>0</v>
      </c>
      <c r="K89" s="49">
        <v>0.0</v>
      </c>
      <c r="L89" s="50" t="str">
        <f t="shared" si="62"/>
        <v>#DIV/0!</v>
      </c>
      <c r="M89" s="51"/>
      <c r="P89" s="54"/>
    </row>
    <row r="90">
      <c r="A90" s="42" t="s">
        <v>29</v>
      </c>
      <c r="B90" s="43">
        <f>17384</f>
        <v>17384</v>
      </c>
      <c r="C90" s="44">
        <f t="shared" si="57"/>
        <v>8780.46</v>
      </c>
      <c r="D90" s="45">
        <f t="shared" si="58"/>
        <v>8603.54</v>
      </c>
      <c r="E90" s="11">
        <f t="shared" si="59"/>
        <v>49.49114128</v>
      </c>
      <c r="F90" s="46">
        <f t="shared" si="60"/>
        <v>452.8178947</v>
      </c>
      <c r="G90" s="47">
        <v>23.0</v>
      </c>
      <c r="H90" s="14">
        <f>320*I90</f>
        <v>6080</v>
      </c>
      <c r="I90" s="48">
        <v>19.0</v>
      </c>
      <c r="J90" s="14">
        <f t="shared" si="61"/>
        <v>4</v>
      </c>
      <c r="K90" s="49">
        <f>2700.46</f>
        <v>2700.46</v>
      </c>
      <c r="L90" s="50">
        <f t="shared" si="62"/>
        <v>17.39130435</v>
      </c>
      <c r="M90" s="51"/>
      <c r="P90" s="54"/>
    </row>
    <row r="91">
      <c r="A91" s="42" t="s">
        <v>31</v>
      </c>
      <c r="B91" s="43">
        <f>4073</f>
        <v>4073</v>
      </c>
      <c r="C91" s="44">
        <f t="shared" si="57"/>
        <v>2673.63</v>
      </c>
      <c r="D91" s="45">
        <f t="shared" si="58"/>
        <v>1399.37</v>
      </c>
      <c r="E91" s="11">
        <f t="shared" si="59"/>
        <v>34.35723054</v>
      </c>
      <c r="F91" s="46">
        <f t="shared" si="60"/>
        <v>349.8425</v>
      </c>
      <c r="G91" s="47">
        <v>8.0</v>
      </c>
      <c r="H91" s="14">
        <f>470*I91</f>
        <v>1880</v>
      </c>
      <c r="I91" s="48">
        <v>4.0</v>
      </c>
      <c r="J91" s="14">
        <f t="shared" si="61"/>
        <v>4</v>
      </c>
      <c r="K91" s="49">
        <f>793.63</f>
        <v>793.63</v>
      </c>
      <c r="L91" s="50">
        <f t="shared" si="62"/>
        <v>50</v>
      </c>
      <c r="M91" s="51"/>
      <c r="P91" s="54"/>
    </row>
    <row r="92">
      <c r="A92" s="42" t="s">
        <v>66</v>
      </c>
      <c r="B92" s="43">
        <f>496</f>
        <v>496</v>
      </c>
      <c r="C92" s="44">
        <f t="shared" si="57"/>
        <v>273.03</v>
      </c>
      <c r="D92" s="45">
        <f t="shared" si="58"/>
        <v>222.97</v>
      </c>
      <c r="E92" s="11">
        <f t="shared" si="59"/>
        <v>44.95362903</v>
      </c>
      <c r="F92" s="46">
        <f t="shared" si="60"/>
        <v>222.97</v>
      </c>
      <c r="G92" s="47">
        <v>2.0</v>
      </c>
      <c r="H92" s="14">
        <f>200*I92</f>
        <v>200</v>
      </c>
      <c r="I92" s="48">
        <v>1.0</v>
      </c>
      <c r="J92" s="14">
        <f t="shared" si="61"/>
        <v>1</v>
      </c>
      <c r="K92" s="49">
        <f>73.03</f>
        <v>73.03</v>
      </c>
      <c r="L92" s="50">
        <f t="shared" si="62"/>
        <v>50</v>
      </c>
      <c r="M92" s="51"/>
      <c r="P92" s="54"/>
    </row>
    <row r="93">
      <c r="A93" s="42" t="s">
        <v>33</v>
      </c>
      <c r="B93" s="43">
        <f>15390</f>
        <v>15390</v>
      </c>
      <c r="C93" s="44">
        <f t="shared" si="57"/>
        <v>12542.3</v>
      </c>
      <c r="D93" s="45">
        <f t="shared" si="58"/>
        <v>2847.7</v>
      </c>
      <c r="E93" s="11">
        <f t="shared" si="59"/>
        <v>18.50357375</v>
      </c>
      <c r="F93" s="46">
        <f t="shared" si="60"/>
        <v>316.4111111</v>
      </c>
      <c r="G93" s="47">
        <v>20.0</v>
      </c>
      <c r="H93" s="14">
        <f>1000*I93</f>
        <v>9000</v>
      </c>
      <c r="I93" s="48">
        <v>9.0</v>
      </c>
      <c r="J93" s="14">
        <f t="shared" si="61"/>
        <v>11</v>
      </c>
      <c r="K93" s="49">
        <f>3542.3</f>
        <v>3542.3</v>
      </c>
      <c r="L93" s="50">
        <f t="shared" si="62"/>
        <v>55</v>
      </c>
      <c r="M93" s="51"/>
      <c r="P93" s="54"/>
      <c r="X93" s="3"/>
    </row>
    <row r="94">
      <c r="A94" s="42" t="s">
        <v>67</v>
      </c>
      <c r="B94" s="43">
        <f>8462</f>
        <v>8462</v>
      </c>
      <c r="C94" s="44">
        <f t="shared" si="57"/>
        <v>6147.27</v>
      </c>
      <c r="D94" s="45">
        <f t="shared" si="58"/>
        <v>2314.73</v>
      </c>
      <c r="E94" s="11">
        <f t="shared" si="59"/>
        <v>27.35440794</v>
      </c>
      <c r="F94" s="46">
        <f t="shared" si="60"/>
        <v>257.1922222</v>
      </c>
      <c r="G94" s="47">
        <v>13.0</v>
      </c>
      <c r="H94" s="14">
        <f>(220+350)*I94</f>
        <v>5130</v>
      </c>
      <c r="I94" s="48">
        <v>9.0</v>
      </c>
      <c r="J94" s="14">
        <f t="shared" si="61"/>
        <v>4</v>
      </c>
      <c r="K94" s="49">
        <f>1017.27</f>
        <v>1017.27</v>
      </c>
      <c r="L94" s="50">
        <f t="shared" si="62"/>
        <v>30.76923077</v>
      </c>
      <c r="M94" s="51"/>
      <c r="P94" s="54"/>
      <c r="X94" s="3"/>
    </row>
    <row r="95">
      <c r="A95" s="42" t="s">
        <v>55</v>
      </c>
      <c r="B95" s="43">
        <f>6339</f>
        <v>6339</v>
      </c>
      <c r="C95" s="44">
        <f t="shared" si="57"/>
        <v>3987</v>
      </c>
      <c r="D95" s="45">
        <f t="shared" si="58"/>
        <v>2352</v>
      </c>
      <c r="E95" s="11">
        <f t="shared" si="59"/>
        <v>37.10364411</v>
      </c>
      <c r="F95" s="46">
        <f t="shared" si="60"/>
        <v>392</v>
      </c>
      <c r="G95" s="47">
        <v>8.0</v>
      </c>
      <c r="H95" s="14">
        <f>(270+220)*I95</f>
        <v>2940</v>
      </c>
      <c r="I95" s="48">
        <v>6.0</v>
      </c>
      <c r="J95" s="14">
        <f t="shared" si="61"/>
        <v>2</v>
      </c>
      <c r="K95" s="49">
        <f>1047</f>
        <v>1047</v>
      </c>
      <c r="L95" s="50">
        <f t="shared" si="62"/>
        <v>25</v>
      </c>
      <c r="M95" s="51"/>
      <c r="P95" s="54"/>
      <c r="X95" s="3"/>
    </row>
    <row r="96">
      <c r="A96" s="42" t="s">
        <v>68</v>
      </c>
      <c r="B96" s="43">
        <f>5183</f>
        <v>5183</v>
      </c>
      <c r="C96" s="44">
        <f t="shared" si="57"/>
        <v>2618.4</v>
      </c>
      <c r="D96" s="45">
        <f t="shared" si="58"/>
        <v>2564.6</v>
      </c>
      <c r="E96" s="11">
        <f t="shared" si="59"/>
        <v>49.48099556</v>
      </c>
      <c r="F96" s="46">
        <f t="shared" si="60"/>
        <v>854.8666667</v>
      </c>
      <c r="G96" s="47">
        <v>4.0</v>
      </c>
      <c r="H96" s="14">
        <f>(320+350)*I96</f>
        <v>2010</v>
      </c>
      <c r="I96" s="48">
        <v>3.0</v>
      </c>
      <c r="J96" s="14">
        <f t="shared" si="61"/>
        <v>1</v>
      </c>
      <c r="K96" s="49">
        <f>608.4</f>
        <v>608.4</v>
      </c>
      <c r="L96" s="50">
        <f t="shared" si="62"/>
        <v>25</v>
      </c>
      <c r="M96" s="51"/>
      <c r="P96" s="54"/>
      <c r="U96" s="3"/>
      <c r="V96" s="3"/>
      <c r="W96" s="3"/>
      <c r="X96" s="3"/>
    </row>
    <row r="97">
      <c r="A97" s="42" t="s">
        <v>56</v>
      </c>
      <c r="B97" s="43">
        <f>14722</f>
        <v>14722</v>
      </c>
      <c r="C97" s="44">
        <f t="shared" si="57"/>
        <v>7294.2</v>
      </c>
      <c r="D97" s="45">
        <f t="shared" si="58"/>
        <v>7427.8</v>
      </c>
      <c r="E97" s="11">
        <f t="shared" si="59"/>
        <v>50.4537427</v>
      </c>
      <c r="F97" s="46">
        <f t="shared" si="60"/>
        <v>825.3111111</v>
      </c>
      <c r="G97" s="47">
        <v>9.0</v>
      </c>
      <c r="H97" s="14">
        <f>(270+350)*I97</f>
        <v>5580</v>
      </c>
      <c r="I97" s="48">
        <v>9.0</v>
      </c>
      <c r="J97" s="14">
        <f t="shared" si="61"/>
        <v>0</v>
      </c>
      <c r="K97" s="49">
        <f>1714.2</f>
        <v>1714.2</v>
      </c>
      <c r="L97" s="50">
        <f t="shared" si="62"/>
        <v>0</v>
      </c>
      <c r="M97" s="51"/>
      <c r="P97" s="54"/>
      <c r="U97" s="3"/>
      <c r="V97" s="3"/>
      <c r="W97" s="3"/>
      <c r="X97" s="3"/>
    </row>
    <row r="98">
      <c r="A98" s="3"/>
      <c r="B98" s="41">
        <f t="shared" ref="B98:D98" si="63">SUM(B85:B97)</f>
        <v>172647</v>
      </c>
      <c r="C98" s="41">
        <f t="shared" si="63"/>
        <v>103039.21</v>
      </c>
      <c r="D98" s="53">
        <f t="shared" si="63"/>
        <v>69607.79</v>
      </c>
      <c r="E98" s="3"/>
      <c r="F98" s="3"/>
      <c r="G98" s="41">
        <f t="shared" ref="G98:K98" si="64">SUM(G85:G97)</f>
        <v>352</v>
      </c>
      <c r="H98" s="41">
        <f t="shared" si="64"/>
        <v>82650</v>
      </c>
      <c r="I98" s="41">
        <f t="shared" si="64"/>
        <v>257</v>
      </c>
      <c r="J98" s="41">
        <f t="shared" si="64"/>
        <v>95</v>
      </c>
      <c r="K98" s="41">
        <f t="shared" si="64"/>
        <v>20389.21</v>
      </c>
      <c r="L98" s="3"/>
      <c r="M98" s="188">
        <v>12275.0</v>
      </c>
      <c r="P98" s="54"/>
      <c r="U98" s="3"/>
      <c r="V98" s="3"/>
      <c r="W98" s="3"/>
      <c r="X98" s="3"/>
    </row>
    <row r="99">
      <c r="P99" s="54"/>
      <c r="U99" s="3"/>
      <c r="V99" s="3"/>
      <c r="W99" s="3"/>
      <c r="X99" s="3"/>
    </row>
    <row r="100">
      <c r="P100" s="54"/>
      <c r="U100" s="3"/>
      <c r="V100" s="3"/>
      <c r="W100" s="3"/>
      <c r="X100" s="3"/>
    </row>
    <row r="101">
      <c r="A101" s="31" t="s">
        <v>40</v>
      </c>
      <c r="B101" s="36">
        <f>B98</f>
        <v>172647</v>
      </c>
      <c r="C101" s="3"/>
      <c r="D101" s="3"/>
      <c r="E101" s="3"/>
      <c r="U101" s="3"/>
      <c r="V101" s="3"/>
      <c r="W101" s="3"/>
    </row>
    <row r="102">
      <c r="A102" s="31" t="s">
        <v>41</v>
      </c>
      <c r="B102" s="36">
        <f>H98</f>
        <v>82650</v>
      </c>
      <c r="C102" s="3"/>
      <c r="D102" s="30"/>
      <c r="E102" s="3"/>
      <c r="U102" s="3"/>
      <c r="V102" s="3"/>
      <c r="W102" s="3"/>
    </row>
    <row r="103">
      <c r="A103" s="31" t="s">
        <v>69</v>
      </c>
      <c r="B103" s="36">
        <f>K98-B104</f>
        <v>8114.21</v>
      </c>
      <c r="C103" s="3"/>
      <c r="D103" s="33" t="s">
        <v>41</v>
      </c>
      <c r="E103" s="34">
        <f>B102/I98</f>
        <v>321.5953307</v>
      </c>
      <c r="U103" s="3"/>
      <c r="V103" s="3"/>
      <c r="W103" s="3"/>
    </row>
    <row r="104">
      <c r="A104" s="31" t="s">
        <v>44</v>
      </c>
      <c r="B104" s="36">
        <f>M98</f>
        <v>12275</v>
      </c>
      <c r="C104" s="3"/>
      <c r="D104" s="33" t="s">
        <v>42</v>
      </c>
      <c r="E104" s="34">
        <f>B104/I98</f>
        <v>47.76264591</v>
      </c>
    </row>
    <row r="105">
      <c r="A105" s="31" t="s">
        <v>62</v>
      </c>
      <c r="B105" s="36">
        <f>B101-SUM(B102:B104)</f>
        <v>69607.79</v>
      </c>
      <c r="C105" s="3"/>
      <c r="D105" s="33" t="s">
        <v>63</v>
      </c>
      <c r="E105" s="34">
        <f>B103/I98</f>
        <v>31.57280156</v>
      </c>
    </row>
    <row r="106">
      <c r="A106" s="31" t="s">
        <v>47</v>
      </c>
      <c r="B106" s="62">
        <f>B105/B101*100</f>
        <v>40.31798409</v>
      </c>
      <c r="C106" s="3"/>
      <c r="D106" s="33" t="s">
        <v>45</v>
      </c>
      <c r="E106" s="34">
        <f>B101/I98</f>
        <v>671.7782101</v>
      </c>
    </row>
    <row r="111">
      <c r="A111" s="1" t="s">
        <v>144</v>
      </c>
      <c r="B111" s="2" t="s">
        <v>70</v>
      </c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S111" s="3"/>
      <c r="T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S112" s="3"/>
      <c r="T112" s="3"/>
    </row>
    <row r="113">
      <c r="A113" s="38" t="s">
        <v>49</v>
      </c>
      <c r="B113" s="24" t="s">
        <v>3</v>
      </c>
      <c r="C113" s="24" t="s">
        <v>4</v>
      </c>
      <c r="D113" s="24" t="s">
        <v>5</v>
      </c>
      <c r="E113" s="39" t="s">
        <v>6</v>
      </c>
      <c r="F113" s="24" t="s">
        <v>7</v>
      </c>
      <c r="G113" s="24" t="s">
        <v>71</v>
      </c>
      <c r="H113" s="24" t="s">
        <v>9</v>
      </c>
      <c r="I113" s="24" t="s">
        <v>72</v>
      </c>
      <c r="J113" s="24" t="s">
        <v>73</v>
      </c>
      <c r="K113" s="28" t="s">
        <v>43</v>
      </c>
      <c r="L113" s="3"/>
      <c r="M113" s="3"/>
      <c r="N113" s="3"/>
      <c r="S113" s="3"/>
      <c r="T113" s="3"/>
    </row>
    <row r="114">
      <c r="A114" s="42" t="s">
        <v>21</v>
      </c>
      <c r="B114" s="43">
        <f>689*H114</f>
        <v>112996</v>
      </c>
      <c r="C114" s="63">
        <f t="shared" ref="C114:C117" si="65">J114+G114+I114+K114</f>
        <v>41820</v>
      </c>
      <c r="D114" s="45">
        <f t="shared" ref="D114:D117" si="66">B114-C114</f>
        <v>71176</v>
      </c>
      <c r="E114" s="11">
        <f t="shared" ref="E114:E117" si="67">D114/B114*100</f>
        <v>62.98984035</v>
      </c>
      <c r="F114" s="46">
        <f t="shared" ref="F114:F117" si="68">D114/H114</f>
        <v>434</v>
      </c>
      <c r="G114" s="14">
        <f>235*H114</f>
        <v>38540</v>
      </c>
      <c r="H114" s="48">
        <v>164.0</v>
      </c>
      <c r="I114" s="14">
        <v>0.0</v>
      </c>
      <c r="J114" s="64">
        <v>0.0</v>
      </c>
      <c r="K114" s="65">
        <f t="shared" ref="K114:K117" si="69">20*H114</f>
        <v>3280</v>
      </c>
      <c r="L114" s="53"/>
      <c r="M114" s="41">
        <v>59209.0</v>
      </c>
      <c r="N114" s="3"/>
      <c r="S114" s="3"/>
      <c r="T114" s="3"/>
    </row>
    <row r="115">
      <c r="A115" s="42" t="s">
        <v>26</v>
      </c>
      <c r="B115" s="43">
        <f>359*H115</f>
        <v>61030</v>
      </c>
      <c r="C115" s="63">
        <f t="shared" si="65"/>
        <v>37230</v>
      </c>
      <c r="D115" s="45">
        <f t="shared" si="66"/>
        <v>23800</v>
      </c>
      <c r="E115" s="11">
        <f t="shared" si="67"/>
        <v>38.99721448</v>
      </c>
      <c r="F115" s="46">
        <f t="shared" si="68"/>
        <v>140</v>
      </c>
      <c r="G115" s="14">
        <f>199*H115</f>
        <v>33830</v>
      </c>
      <c r="H115" s="48">
        <v>170.0</v>
      </c>
      <c r="I115" s="14">
        <v>0.0</v>
      </c>
      <c r="J115" s="64">
        <v>0.0</v>
      </c>
      <c r="K115" s="65">
        <f t="shared" si="69"/>
        <v>3400</v>
      </c>
      <c r="L115" s="53"/>
      <c r="M115" s="3"/>
      <c r="N115" s="3"/>
      <c r="S115" s="3"/>
      <c r="T115" s="3"/>
    </row>
    <row r="116">
      <c r="A116" s="42" t="s">
        <v>23</v>
      </c>
      <c r="B116" s="43">
        <f>781*H116</f>
        <v>106216</v>
      </c>
      <c r="C116" s="44">
        <f t="shared" si="65"/>
        <v>46104</v>
      </c>
      <c r="D116" s="45">
        <f t="shared" si="66"/>
        <v>60112</v>
      </c>
      <c r="E116" s="11">
        <f t="shared" si="67"/>
        <v>56.59411012</v>
      </c>
      <c r="F116" s="46">
        <f t="shared" si="68"/>
        <v>442</v>
      </c>
      <c r="G116" s="14">
        <f>319*H116</f>
        <v>43384</v>
      </c>
      <c r="H116" s="48">
        <v>136.0</v>
      </c>
      <c r="I116" s="14">
        <v>0.0</v>
      </c>
      <c r="J116" s="66">
        <f t="shared" ref="J116:J117" si="70">L116%*M116</f>
        <v>0</v>
      </c>
      <c r="K116" s="65">
        <f t="shared" si="69"/>
        <v>2720</v>
      </c>
      <c r="L116" s="3"/>
      <c r="M116" s="3"/>
      <c r="N116" s="3"/>
      <c r="S116" s="3"/>
      <c r="T116" s="3"/>
    </row>
    <row r="117">
      <c r="A117" s="42" t="s">
        <v>29</v>
      </c>
      <c r="B117" s="43">
        <f>843*H117</f>
        <v>85143</v>
      </c>
      <c r="C117" s="44">
        <f t="shared" si="65"/>
        <v>34643</v>
      </c>
      <c r="D117" s="45">
        <f t="shared" si="66"/>
        <v>50500</v>
      </c>
      <c r="E117" s="11">
        <f t="shared" si="67"/>
        <v>59.31198102</v>
      </c>
      <c r="F117" s="46">
        <f t="shared" si="68"/>
        <v>500</v>
      </c>
      <c r="G117" s="14">
        <f>323*H117</f>
        <v>32623</v>
      </c>
      <c r="H117" s="48">
        <v>101.0</v>
      </c>
      <c r="I117" s="14">
        <v>0.0</v>
      </c>
      <c r="J117" s="66">
        <f t="shared" si="70"/>
        <v>0</v>
      </c>
      <c r="K117" s="65">
        <f t="shared" si="69"/>
        <v>2020</v>
      </c>
      <c r="L117" s="3"/>
      <c r="M117" s="3"/>
      <c r="N117" s="3"/>
      <c r="S117" s="3"/>
      <c r="T117" s="3"/>
    </row>
    <row r="118">
      <c r="A118" s="3"/>
      <c r="B118" s="41">
        <f t="shared" ref="B118:H118" si="71">SUM(B114:B117)</f>
        <v>365385</v>
      </c>
      <c r="C118" s="67">
        <f t="shared" si="71"/>
        <v>159797</v>
      </c>
      <c r="D118" s="53">
        <f t="shared" si="71"/>
        <v>205588</v>
      </c>
      <c r="E118" s="68">
        <f t="shared" si="71"/>
        <v>217.893146</v>
      </c>
      <c r="F118" s="68">
        <f t="shared" si="71"/>
        <v>1516</v>
      </c>
      <c r="G118" s="41">
        <f t="shared" si="71"/>
        <v>148377</v>
      </c>
      <c r="H118" s="41">
        <f t="shared" si="71"/>
        <v>571</v>
      </c>
      <c r="I118" s="41">
        <f>134501</f>
        <v>134501</v>
      </c>
      <c r="J118" s="67">
        <f t="shared" ref="J118:K118" si="72">SUM(J114:J117)</f>
        <v>0</v>
      </c>
      <c r="K118" s="41">
        <f t="shared" si="72"/>
        <v>11420</v>
      </c>
      <c r="L118" s="3"/>
      <c r="M118" s="3"/>
      <c r="N118" s="3"/>
      <c r="O118" s="3"/>
      <c r="P118" s="3"/>
      <c r="Q118" s="3"/>
      <c r="R118" s="3"/>
      <c r="S118" s="3"/>
      <c r="T118" s="3"/>
      <c r="Y118" s="3"/>
      <c r="Z118" s="3"/>
    </row>
    <row r="121">
      <c r="A121" s="31" t="s">
        <v>40</v>
      </c>
      <c r="B121" s="32">
        <f>B118</f>
        <v>365385</v>
      </c>
      <c r="C121" s="3"/>
      <c r="D121" s="101" t="s">
        <v>39</v>
      </c>
      <c r="E121" s="28" t="s">
        <v>150</v>
      </c>
    </row>
    <row r="122">
      <c r="A122" s="31" t="s">
        <v>41</v>
      </c>
      <c r="B122" s="32">
        <f>G118</f>
        <v>148377</v>
      </c>
      <c r="C122" s="3"/>
      <c r="D122" s="33" t="s">
        <v>41</v>
      </c>
      <c r="E122" s="34">
        <f>B122/H118</f>
        <v>259.854641</v>
      </c>
    </row>
    <row r="123">
      <c r="A123" s="31" t="s">
        <v>74</v>
      </c>
      <c r="B123" s="32">
        <f>K118</f>
        <v>11420</v>
      </c>
      <c r="C123" s="3"/>
      <c r="D123" s="33" t="s">
        <v>42</v>
      </c>
      <c r="E123" s="34">
        <f>B124/H118</f>
        <v>235.5534151</v>
      </c>
    </row>
    <row r="124">
      <c r="A124" s="31" t="s">
        <v>75</v>
      </c>
      <c r="B124" s="62">
        <f>I118+J118</f>
        <v>134501</v>
      </c>
      <c r="C124" s="3"/>
      <c r="D124" s="69" t="s">
        <v>43</v>
      </c>
      <c r="E124" s="34">
        <f>K118/H118</f>
        <v>20</v>
      </c>
    </row>
    <row r="125">
      <c r="A125" s="31" t="s">
        <v>62</v>
      </c>
      <c r="B125" s="32">
        <f>B121-SUM(B122:B124)</f>
        <v>71087</v>
      </c>
      <c r="C125" s="3"/>
      <c r="D125" s="33" t="s">
        <v>45</v>
      </c>
      <c r="E125" s="34">
        <f>B121/H118</f>
        <v>639.9036778</v>
      </c>
    </row>
    <row r="126">
      <c r="A126" s="31" t="s">
        <v>47</v>
      </c>
      <c r="B126" s="62">
        <f>B125/B121*100</f>
        <v>19.45536899</v>
      </c>
      <c r="C126" s="3"/>
      <c r="D126" s="3"/>
      <c r="E126" s="3"/>
    </row>
    <row r="130">
      <c r="X130" s="3"/>
    </row>
    <row r="131">
      <c r="X131" s="3"/>
    </row>
    <row r="132">
      <c r="A132" s="1" t="s">
        <v>144</v>
      </c>
      <c r="B132" s="2" t="s">
        <v>76</v>
      </c>
      <c r="C132" s="3"/>
      <c r="D132" s="3"/>
      <c r="E132" s="3"/>
      <c r="F132" s="3"/>
      <c r="G132" s="3"/>
      <c r="H132" s="3"/>
      <c r="I132" s="3"/>
      <c r="J132" s="3"/>
      <c r="K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U133" s="3"/>
      <c r="V133" s="3"/>
      <c r="W133" s="3"/>
    </row>
    <row r="134">
      <c r="A134" s="38" t="s">
        <v>49</v>
      </c>
      <c r="B134" s="24" t="s">
        <v>3</v>
      </c>
      <c r="C134" s="24" t="s">
        <v>4</v>
      </c>
      <c r="D134" s="24" t="s">
        <v>5</v>
      </c>
      <c r="E134" s="39" t="s">
        <v>6</v>
      </c>
      <c r="F134" s="24" t="s">
        <v>7</v>
      </c>
      <c r="G134" s="24" t="s">
        <v>71</v>
      </c>
      <c r="H134" s="24" t="s">
        <v>9</v>
      </c>
      <c r="I134" s="24" t="s">
        <v>77</v>
      </c>
      <c r="J134" s="24" t="s">
        <v>73</v>
      </c>
      <c r="K134" s="28" t="s">
        <v>43</v>
      </c>
      <c r="U134" s="3"/>
      <c r="V134" s="3"/>
      <c r="W134" s="3"/>
    </row>
    <row r="135">
      <c r="A135" s="42" t="s">
        <v>21</v>
      </c>
      <c r="B135" s="43">
        <f>727*H135</f>
        <v>79243</v>
      </c>
      <c r="C135" s="44">
        <f t="shared" ref="C135:C137" si="73">J135+G135+I135+K135</f>
        <v>27795</v>
      </c>
      <c r="D135" s="45">
        <f t="shared" ref="D135:D138" si="74">B135-C135</f>
        <v>51448</v>
      </c>
      <c r="E135" s="11">
        <f t="shared" ref="E135:E137" si="75">D135/B135*100</f>
        <v>64.92434663</v>
      </c>
      <c r="F135" s="46">
        <f t="shared" ref="F135:F137" si="76">D135/H135</f>
        <v>472</v>
      </c>
      <c r="G135" s="14">
        <f>235*H135</f>
        <v>25615</v>
      </c>
      <c r="H135" s="48">
        <v>109.0</v>
      </c>
      <c r="I135" s="14">
        <v>0.0</v>
      </c>
      <c r="J135" s="66">
        <v>0.0</v>
      </c>
      <c r="K135" s="65">
        <f t="shared" ref="K135:K137" si="77">20*H135</f>
        <v>2180</v>
      </c>
    </row>
    <row r="136">
      <c r="A136" s="42" t="s">
        <v>26</v>
      </c>
      <c r="B136" s="43">
        <f>385*H136</f>
        <v>20790</v>
      </c>
      <c r="C136" s="44">
        <f t="shared" si="73"/>
        <v>11826</v>
      </c>
      <c r="D136" s="45">
        <f t="shared" si="74"/>
        <v>8964</v>
      </c>
      <c r="E136" s="11">
        <f t="shared" si="75"/>
        <v>43.11688312</v>
      </c>
      <c r="F136" s="46">
        <f t="shared" si="76"/>
        <v>166</v>
      </c>
      <c r="G136" s="14">
        <f>199*H136</f>
        <v>10746</v>
      </c>
      <c r="H136" s="48">
        <v>54.0</v>
      </c>
      <c r="I136" s="14">
        <v>0.0</v>
      </c>
      <c r="J136" s="66">
        <v>0.0</v>
      </c>
      <c r="K136" s="65">
        <f t="shared" si="77"/>
        <v>1080</v>
      </c>
    </row>
    <row r="137">
      <c r="A137" s="42" t="s">
        <v>23</v>
      </c>
      <c r="B137" s="43">
        <f>801*H137</f>
        <v>95319</v>
      </c>
      <c r="C137" s="44">
        <f t="shared" si="73"/>
        <v>40341</v>
      </c>
      <c r="D137" s="45">
        <f t="shared" si="74"/>
        <v>54978</v>
      </c>
      <c r="E137" s="11">
        <f t="shared" si="75"/>
        <v>57.67790262</v>
      </c>
      <c r="F137" s="46">
        <f t="shared" si="76"/>
        <v>462</v>
      </c>
      <c r="G137" s="14">
        <f>319*H137</f>
        <v>37961</v>
      </c>
      <c r="H137" s="48">
        <v>119.0</v>
      </c>
      <c r="I137" s="14">
        <v>0.0</v>
      </c>
      <c r="J137" s="66">
        <v>0.0</v>
      </c>
      <c r="K137" s="65">
        <f t="shared" si="77"/>
        <v>2380</v>
      </c>
    </row>
    <row r="138">
      <c r="A138" s="3"/>
      <c r="B138" s="41">
        <f t="shared" ref="B138:C138" si="78">SUM(B135:B137)</f>
        <v>195352</v>
      </c>
      <c r="C138" s="41">
        <f t="shared" si="78"/>
        <v>79962</v>
      </c>
      <c r="D138" s="41">
        <f t="shared" si="74"/>
        <v>115390</v>
      </c>
      <c r="E138" s="3"/>
      <c r="F138" s="3"/>
      <c r="G138" s="41">
        <f t="shared" ref="G138:H138" si="79">SUM(G135:G137)</f>
        <v>74322</v>
      </c>
      <c r="H138" s="41">
        <f t="shared" si="79"/>
        <v>282</v>
      </c>
      <c r="I138" s="3">
        <f>9958</f>
        <v>9958</v>
      </c>
      <c r="J138" s="3"/>
      <c r="K138" s="41">
        <f>SUM(K135:K137)</f>
        <v>5640</v>
      </c>
    </row>
    <row r="140">
      <c r="A140" s="31" t="s">
        <v>40</v>
      </c>
      <c r="B140" s="32">
        <f>B138</f>
        <v>195352</v>
      </c>
      <c r="C140" s="3"/>
      <c r="D140" s="30" t="s">
        <v>39</v>
      </c>
      <c r="E140" s="3" t="s">
        <v>151</v>
      </c>
    </row>
    <row r="141">
      <c r="A141" s="31" t="s">
        <v>41</v>
      </c>
      <c r="B141" s="32">
        <f>G138</f>
        <v>74322</v>
      </c>
      <c r="C141" s="3"/>
      <c r="D141" s="33" t="s">
        <v>41</v>
      </c>
      <c r="E141" s="34">
        <f>B141/H138</f>
        <v>263.5531915</v>
      </c>
    </row>
    <row r="142">
      <c r="A142" s="31" t="s">
        <v>74</v>
      </c>
      <c r="B142" s="32">
        <f>K138</f>
        <v>5640</v>
      </c>
      <c r="C142" s="3"/>
      <c r="D142" s="33" t="s">
        <v>42</v>
      </c>
      <c r="E142" s="34">
        <f>B143/H138</f>
        <v>35.31205674</v>
      </c>
    </row>
    <row r="143">
      <c r="A143" s="31" t="s">
        <v>75</v>
      </c>
      <c r="B143" s="32">
        <f>I138+J138</f>
        <v>9958</v>
      </c>
      <c r="C143" s="3"/>
      <c r="D143" s="69" t="s">
        <v>43</v>
      </c>
      <c r="E143" s="34">
        <f>B142/H138</f>
        <v>20</v>
      </c>
    </row>
    <row r="144">
      <c r="A144" s="31" t="s">
        <v>62</v>
      </c>
      <c r="B144" s="32">
        <f>B140-SUM(B141:B143)</f>
        <v>105432</v>
      </c>
      <c r="C144" s="3"/>
      <c r="D144" s="33" t="s">
        <v>45</v>
      </c>
      <c r="E144" s="34">
        <f>B140/H138</f>
        <v>692.7375887</v>
      </c>
    </row>
    <row r="145">
      <c r="A145" s="31" t="s">
        <v>47</v>
      </c>
      <c r="B145" s="62">
        <f>B144/B140*100</f>
        <v>53.97026905</v>
      </c>
      <c r="C145" s="3"/>
      <c r="D145" s="3"/>
      <c r="E145" s="3"/>
    </row>
    <row r="148">
      <c r="A148" s="1" t="s">
        <v>144</v>
      </c>
      <c r="B148" s="2" t="s">
        <v>78</v>
      </c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S148" s="3"/>
      <c r="T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S149" s="3"/>
      <c r="T149" s="3"/>
    </row>
    <row r="150">
      <c r="A150" s="38" t="s">
        <v>49</v>
      </c>
      <c r="B150" s="24" t="s">
        <v>3</v>
      </c>
      <c r="C150" s="24" t="s">
        <v>4</v>
      </c>
      <c r="D150" s="24" t="s">
        <v>5</v>
      </c>
      <c r="E150" s="39" t="s">
        <v>6</v>
      </c>
      <c r="F150" s="24" t="s">
        <v>7</v>
      </c>
      <c r="G150" s="24" t="s">
        <v>11</v>
      </c>
      <c r="H150" s="24" t="s">
        <v>12</v>
      </c>
      <c r="I150" s="3"/>
      <c r="J150" s="3"/>
      <c r="K150" s="3"/>
      <c r="L150" s="3"/>
    </row>
    <row r="151">
      <c r="A151" s="42" t="s">
        <v>21</v>
      </c>
      <c r="B151" s="43">
        <f>95311.57</f>
        <v>95311.57</v>
      </c>
      <c r="C151" s="44">
        <f t="shared" ref="C151:C165" si="80">G151</f>
        <v>33500</v>
      </c>
      <c r="D151" s="45">
        <f t="shared" ref="D151:D166" si="81">B151-C151</f>
        <v>61811.57</v>
      </c>
      <c r="E151" s="11">
        <f t="shared" ref="E151:E165" si="82">D151/B151*100</f>
        <v>64.85211607</v>
      </c>
      <c r="F151" s="46">
        <f t="shared" ref="F151:F165" si="83">D151/H151</f>
        <v>461.2803731</v>
      </c>
      <c r="G151" s="14">
        <f>250*H151</f>
        <v>33500</v>
      </c>
      <c r="H151" s="48">
        <v>134.0</v>
      </c>
      <c r="I151" s="3"/>
      <c r="J151" s="3"/>
      <c r="K151" s="3"/>
      <c r="L151" s="3"/>
    </row>
    <row r="152">
      <c r="A152" s="42" t="s">
        <v>23</v>
      </c>
      <c r="B152" s="43">
        <f>32250.06</f>
        <v>32250.06</v>
      </c>
      <c r="C152" s="44">
        <f t="shared" si="80"/>
        <v>11900</v>
      </c>
      <c r="D152" s="45">
        <f t="shared" si="81"/>
        <v>20350.06</v>
      </c>
      <c r="E152" s="11">
        <f t="shared" si="82"/>
        <v>63.10084384</v>
      </c>
      <c r="F152" s="46">
        <f t="shared" si="83"/>
        <v>598.5311765</v>
      </c>
      <c r="G152" s="14">
        <f>350*H152</f>
        <v>11900</v>
      </c>
      <c r="H152" s="48">
        <v>34.0</v>
      </c>
      <c r="I152" s="3"/>
      <c r="J152" s="3"/>
      <c r="K152" s="3"/>
      <c r="L152" s="3"/>
    </row>
    <row r="153">
      <c r="A153" s="42" t="s">
        <v>25</v>
      </c>
      <c r="B153" s="43">
        <f>28019.98</f>
        <v>28019.98</v>
      </c>
      <c r="C153" s="44">
        <f t="shared" si="80"/>
        <v>22500</v>
      </c>
      <c r="D153" s="45">
        <f t="shared" si="81"/>
        <v>5519.98</v>
      </c>
      <c r="E153" s="11">
        <f t="shared" si="82"/>
        <v>19.70015682</v>
      </c>
      <c r="F153" s="46">
        <f t="shared" si="83"/>
        <v>220.7992</v>
      </c>
      <c r="G153" s="14">
        <f> 900*H153</f>
        <v>22500</v>
      </c>
      <c r="H153" s="48">
        <v>25.0</v>
      </c>
      <c r="I153" s="3"/>
      <c r="J153" s="3"/>
      <c r="K153" s="3"/>
      <c r="L153" s="3"/>
    </row>
    <row r="154">
      <c r="A154" s="42" t="s">
        <v>26</v>
      </c>
      <c r="B154" s="43">
        <f>16460.89</f>
        <v>16460.89</v>
      </c>
      <c r="C154" s="44">
        <f t="shared" si="80"/>
        <v>8580</v>
      </c>
      <c r="D154" s="45">
        <f t="shared" si="81"/>
        <v>7880.89</v>
      </c>
      <c r="E154" s="11">
        <f t="shared" si="82"/>
        <v>47.87645139</v>
      </c>
      <c r="F154" s="46">
        <f t="shared" si="83"/>
        <v>202.0741026</v>
      </c>
      <c r="G154" s="14">
        <f>220*H154</f>
        <v>8580</v>
      </c>
      <c r="H154" s="48">
        <v>39.0</v>
      </c>
      <c r="I154" s="3"/>
      <c r="J154" s="3"/>
      <c r="K154" s="3"/>
      <c r="L154" s="3"/>
    </row>
    <row r="155">
      <c r="A155" s="42" t="s">
        <v>28</v>
      </c>
      <c r="B155" s="43">
        <v>0.0</v>
      </c>
      <c r="C155" s="44">
        <f t="shared" si="80"/>
        <v>0</v>
      </c>
      <c r="D155" s="45">
        <f t="shared" si="81"/>
        <v>0</v>
      </c>
      <c r="E155" s="11" t="str">
        <f t="shared" si="82"/>
        <v>#DIV/0!</v>
      </c>
      <c r="F155" s="46" t="str">
        <f t="shared" si="83"/>
        <v>#DIV/0!</v>
      </c>
      <c r="G155" s="14">
        <f>250*H155</f>
        <v>0</v>
      </c>
      <c r="H155" s="48">
        <v>0.0</v>
      </c>
      <c r="I155" s="3"/>
      <c r="J155" s="3"/>
      <c r="K155" s="3"/>
      <c r="L155" s="3"/>
    </row>
    <row r="156">
      <c r="A156" s="42" t="s">
        <v>29</v>
      </c>
      <c r="B156" s="43">
        <f>13514.68</f>
        <v>13514.68</v>
      </c>
      <c r="C156" s="44">
        <f t="shared" si="80"/>
        <v>5120</v>
      </c>
      <c r="D156" s="45">
        <f t="shared" si="81"/>
        <v>8394.68</v>
      </c>
      <c r="E156" s="11">
        <f t="shared" si="82"/>
        <v>62.11527021</v>
      </c>
      <c r="F156" s="46">
        <f t="shared" si="83"/>
        <v>524.6675</v>
      </c>
      <c r="G156" s="14">
        <f>320*H156</f>
        <v>5120</v>
      </c>
      <c r="H156" s="48">
        <v>16.0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A157" s="42" t="s">
        <v>31</v>
      </c>
      <c r="B157" s="43">
        <f>1099*2</f>
        <v>2198</v>
      </c>
      <c r="C157" s="44">
        <f t="shared" si="80"/>
        <v>1000</v>
      </c>
      <c r="D157" s="45">
        <f t="shared" si="81"/>
        <v>1198</v>
      </c>
      <c r="E157" s="11">
        <f t="shared" si="82"/>
        <v>54.50409463</v>
      </c>
      <c r="F157" s="46">
        <f t="shared" si="83"/>
        <v>599</v>
      </c>
      <c r="G157" s="14">
        <f>500*H157</f>
        <v>1000</v>
      </c>
      <c r="H157" s="48">
        <v>2.0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A158" s="42" t="s">
        <v>32</v>
      </c>
      <c r="B158" s="43">
        <v>0.0</v>
      </c>
      <c r="C158" s="44">
        <f t="shared" si="80"/>
        <v>0</v>
      </c>
      <c r="D158" s="45">
        <f t="shared" si="81"/>
        <v>0</v>
      </c>
      <c r="E158" s="11" t="str">
        <f t="shared" si="82"/>
        <v>#DIV/0!</v>
      </c>
      <c r="F158" s="46" t="str">
        <f t="shared" si="83"/>
        <v>#DIV/0!</v>
      </c>
      <c r="G158" s="14">
        <f>800*H158</f>
        <v>0</v>
      </c>
      <c r="H158" s="48">
        <v>0.0</v>
      </c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A159" s="42" t="s">
        <v>33</v>
      </c>
      <c r="B159" s="43">
        <v>0.0</v>
      </c>
      <c r="C159" s="44">
        <f t="shared" si="80"/>
        <v>0</v>
      </c>
      <c r="D159" s="45">
        <f t="shared" si="81"/>
        <v>0</v>
      </c>
      <c r="E159" s="11" t="str">
        <f t="shared" si="82"/>
        <v>#DIV/0!</v>
      </c>
      <c r="F159" s="46" t="str">
        <f t="shared" si="83"/>
        <v>#DIV/0!</v>
      </c>
      <c r="G159" s="14">
        <f>1000*H159</f>
        <v>0</v>
      </c>
      <c r="H159" s="48">
        <v>0.0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42" t="s">
        <v>54</v>
      </c>
      <c r="B160" s="43">
        <f>5066.63</f>
        <v>5066.63</v>
      </c>
      <c r="C160" s="44">
        <f t="shared" si="80"/>
        <v>1600</v>
      </c>
      <c r="D160" s="45">
        <f t="shared" si="81"/>
        <v>3466.63</v>
      </c>
      <c r="E160" s="11">
        <f t="shared" si="82"/>
        <v>68.4208241</v>
      </c>
      <c r="F160" s="46">
        <f t="shared" si="83"/>
        <v>433.32875</v>
      </c>
      <c r="G160" s="14">
        <f>200*H160</f>
        <v>1600</v>
      </c>
      <c r="H160" s="48">
        <v>8.0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T160" s="3"/>
    </row>
    <row r="161">
      <c r="A161" s="42" t="s">
        <v>55</v>
      </c>
      <c r="B161" s="43">
        <f>30212.88</f>
        <v>30212.88</v>
      </c>
      <c r="C161" s="44">
        <f t="shared" si="80"/>
        <v>15190</v>
      </c>
      <c r="D161" s="45">
        <f t="shared" si="81"/>
        <v>15022.88</v>
      </c>
      <c r="E161" s="11">
        <f t="shared" si="82"/>
        <v>49.72342921</v>
      </c>
      <c r="F161" s="46">
        <f t="shared" si="83"/>
        <v>484.6090323</v>
      </c>
      <c r="G161" s="14">
        <f>(270+220)*H161</f>
        <v>15190</v>
      </c>
      <c r="H161" s="48">
        <v>31.0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2" t="s">
        <v>56</v>
      </c>
      <c r="B162" s="43">
        <f>14619.2</f>
        <v>14619.2</v>
      </c>
      <c r="C162" s="44">
        <f t="shared" si="80"/>
        <v>6200</v>
      </c>
      <c r="D162" s="45">
        <f t="shared" si="81"/>
        <v>8419.2</v>
      </c>
      <c r="E162" s="11">
        <f t="shared" si="82"/>
        <v>57.59001861</v>
      </c>
      <c r="F162" s="46">
        <f t="shared" si="83"/>
        <v>841.92</v>
      </c>
      <c r="G162" s="14">
        <f>(270+350)*H162</f>
        <v>6200</v>
      </c>
      <c r="H162" s="48">
        <v>10.0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A163" s="42" t="s">
        <v>57</v>
      </c>
      <c r="B163" s="43">
        <f>8771.48</f>
        <v>8771.48</v>
      </c>
      <c r="C163" s="44">
        <f t="shared" si="80"/>
        <v>3540</v>
      </c>
      <c r="D163" s="45">
        <f t="shared" si="81"/>
        <v>5231.48</v>
      </c>
      <c r="E163" s="11">
        <f t="shared" si="82"/>
        <v>59.64193044</v>
      </c>
      <c r="F163" s="46">
        <f t="shared" si="83"/>
        <v>871.9133333</v>
      </c>
      <c r="G163" s="14">
        <f>(270+320)*H163</f>
        <v>3540</v>
      </c>
      <c r="H163" s="48">
        <v>6.0</v>
      </c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A164" s="42" t="s">
        <v>58</v>
      </c>
      <c r="B164" s="43">
        <f>17120.6</f>
        <v>17120.6</v>
      </c>
      <c r="C164" s="44">
        <f t="shared" si="80"/>
        <v>9690</v>
      </c>
      <c r="D164" s="45">
        <f t="shared" si="81"/>
        <v>7430.6</v>
      </c>
      <c r="E164" s="11">
        <f t="shared" si="82"/>
        <v>43.4015163</v>
      </c>
      <c r="F164" s="46">
        <f t="shared" si="83"/>
        <v>437.0941176</v>
      </c>
      <c r="G164" s="14">
        <f>(350+220)*H164</f>
        <v>9690</v>
      </c>
      <c r="H164" s="48">
        <v>17.0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A165" s="42" t="s">
        <v>59</v>
      </c>
      <c r="B165" s="43">
        <f>27776.36</f>
        <v>27776.36</v>
      </c>
      <c r="C165" s="44">
        <f t="shared" si="80"/>
        <v>12730</v>
      </c>
      <c r="D165" s="45">
        <f t="shared" si="81"/>
        <v>15046.36</v>
      </c>
      <c r="E165" s="11">
        <f t="shared" si="82"/>
        <v>54.16966082</v>
      </c>
      <c r="F165" s="46">
        <f t="shared" si="83"/>
        <v>791.9136842</v>
      </c>
      <c r="G165" s="14">
        <f>(350+320)*H165</f>
        <v>12730</v>
      </c>
      <c r="H165" s="48">
        <v>19.0</v>
      </c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A166" s="3" t="s">
        <v>38</v>
      </c>
      <c r="B166" s="57">
        <f t="shared" ref="B166:C166" si="84">SUM(B151:B165)</f>
        <v>291322.33</v>
      </c>
      <c r="C166" s="41">
        <f t="shared" si="84"/>
        <v>131550</v>
      </c>
      <c r="D166" s="57">
        <f t="shared" si="81"/>
        <v>159772.33</v>
      </c>
      <c r="E166" s="3"/>
      <c r="F166" s="3"/>
      <c r="G166" s="41">
        <f t="shared" ref="G166:H166" si="85">SUM(G151:G165)</f>
        <v>131550</v>
      </c>
      <c r="H166" s="41">
        <f t="shared" si="85"/>
        <v>341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8">
      <c r="A168" s="31" t="s">
        <v>40</v>
      </c>
      <c r="B168" s="36">
        <f>B166</f>
        <v>291322.33</v>
      </c>
      <c r="C168" s="3"/>
      <c r="D168" s="30"/>
      <c r="E168" s="3"/>
    </row>
    <row r="169">
      <c r="A169" s="31" t="s">
        <v>41</v>
      </c>
      <c r="B169" s="32">
        <f>G166</f>
        <v>131550</v>
      </c>
      <c r="C169" s="3"/>
      <c r="D169" s="33" t="s">
        <v>41</v>
      </c>
      <c r="E169" s="34">
        <f>B169/H166</f>
        <v>385.7771261</v>
      </c>
    </row>
    <row r="170">
      <c r="A170" s="31" t="s">
        <v>74</v>
      </c>
      <c r="B170" s="32">
        <v>0.0</v>
      </c>
      <c r="C170" s="3"/>
      <c r="D170" s="33" t="s">
        <v>42</v>
      </c>
      <c r="E170" s="34">
        <f>B171</f>
        <v>0</v>
      </c>
    </row>
    <row r="171">
      <c r="A171" s="31" t="s">
        <v>75</v>
      </c>
      <c r="B171" s="32">
        <f>I165+J165</f>
        <v>0</v>
      </c>
      <c r="C171" s="3"/>
      <c r="D171" s="69" t="s">
        <v>43</v>
      </c>
      <c r="E171" s="34">
        <f>B170/H166</f>
        <v>0</v>
      </c>
    </row>
    <row r="172">
      <c r="A172" s="31" t="s">
        <v>62</v>
      </c>
      <c r="B172" s="36">
        <f>B168-SUM(B169:B171)</f>
        <v>159772.33</v>
      </c>
      <c r="C172" s="3"/>
      <c r="D172" s="33" t="s">
        <v>45</v>
      </c>
      <c r="E172" s="34">
        <f>B168/H166</f>
        <v>854.3176833</v>
      </c>
    </row>
    <row r="173">
      <c r="A173" s="31" t="s">
        <v>47</v>
      </c>
      <c r="B173" s="62">
        <f>B172/B168*100</f>
        <v>54.84383226</v>
      </c>
      <c r="C173" s="3"/>
      <c r="D173" s="3"/>
      <c r="E173" s="3"/>
    </row>
    <row r="177">
      <c r="A177" s="1" t="s">
        <v>144</v>
      </c>
      <c r="B177" s="2" t="s">
        <v>96</v>
      </c>
    </row>
    <row r="178">
      <c r="A178" s="3"/>
      <c r="B178" s="3"/>
    </row>
    <row r="179">
      <c r="A179" s="38" t="s">
        <v>49</v>
      </c>
      <c r="B179" s="24" t="s">
        <v>3</v>
      </c>
      <c r="C179" s="24" t="s">
        <v>4</v>
      </c>
      <c r="D179" s="24" t="s">
        <v>5</v>
      </c>
      <c r="E179" s="39" t="s">
        <v>6</v>
      </c>
      <c r="F179" s="24" t="s">
        <v>7</v>
      </c>
      <c r="G179" s="24" t="s">
        <v>11</v>
      </c>
      <c r="H179" s="24" t="s">
        <v>12</v>
      </c>
    </row>
    <row r="180">
      <c r="A180" s="42" t="s">
        <v>23</v>
      </c>
      <c r="B180" s="43">
        <f>227303</f>
        <v>227303</v>
      </c>
      <c r="C180" s="44">
        <f>(14%*B180)+G180</f>
        <v>111272.42</v>
      </c>
      <c r="D180" s="189">
        <f>B180-C180</f>
        <v>116030.58</v>
      </c>
      <c r="E180" s="11">
        <f>D180/B180*100</f>
        <v>51.04665579</v>
      </c>
      <c r="F180" s="46">
        <f>D180/H180</f>
        <v>511.1479295</v>
      </c>
      <c r="G180" s="14">
        <f>350*H180</f>
        <v>79450</v>
      </c>
      <c r="H180" s="48">
        <v>227.0</v>
      </c>
    </row>
    <row r="183">
      <c r="A183" s="127">
        <v>45839.0</v>
      </c>
    </row>
    <row r="184" ht="15.75" customHeight="1"/>
    <row r="185">
      <c r="A185" s="190" t="s">
        <v>152</v>
      </c>
      <c r="B185" s="191">
        <f>H166+H138+H118+I98+I66+K34+H180</f>
        <v>11144</v>
      </c>
    </row>
    <row r="186">
      <c r="A186" s="71" t="s">
        <v>79</v>
      </c>
      <c r="B186" s="72">
        <f>B38+B69+B101+B121+B140+B168+B180</f>
        <v>11063433.48</v>
      </c>
    </row>
    <row r="187">
      <c r="A187" s="74" t="s">
        <v>41</v>
      </c>
      <c r="B187" s="75">
        <f>B39+B70+B102+B122+B141+B169+G180</f>
        <v>3977934</v>
      </c>
      <c r="E187" s="30"/>
      <c r="F187" s="168"/>
      <c r="G187" s="70"/>
      <c r="H187" s="129"/>
      <c r="I187" s="129"/>
      <c r="J187" s="129"/>
      <c r="K187" s="70"/>
    </row>
    <row r="188">
      <c r="A188" s="76" t="s">
        <v>80</v>
      </c>
      <c r="B188" s="77">
        <f>B186-B187</f>
        <v>7085499.48</v>
      </c>
      <c r="G188" s="70"/>
      <c r="H188" s="70"/>
      <c r="I188" s="169"/>
      <c r="J188" s="148"/>
      <c r="K188" s="70"/>
      <c r="M188" s="128"/>
      <c r="N188" s="113"/>
    </row>
    <row r="189">
      <c r="A189" s="71" t="s">
        <v>81</v>
      </c>
      <c r="B189" s="78">
        <f>B188/B186</f>
        <v>0.640443086</v>
      </c>
      <c r="E189" s="128">
        <f>B191-B41</f>
        <v>502627.265</v>
      </c>
      <c r="F189" s="113"/>
      <c r="G189" s="70"/>
      <c r="H189" s="70"/>
      <c r="I189" s="169"/>
      <c r="J189" s="148"/>
      <c r="K189" s="70"/>
    </row>
    <row r="190">
      <c r="A190" s="76" t="s">
        <v>82</v>
      </c>
      <c r="B190" s="77">
        <f>B40+B71+B103+B123+B142+B171+B72</f>
        <v>1356871.495</v>
      </c>
      <c r="C190" s="60">
        <f>B190/B186*100</f>
        <v>12.26447013</v>
      </c>
      <c r="F190" s="113">
        <f>E189/1.18</f>
        <v>425955.3093</v>
      </c>
      <c r="G190" s="70"/>
      <c r="H190" s="70"/>
      <c r="I190" s="169"/>
      <c r="J190" s="148"/>
      <c r="K190" s="70"/>
      <c r="L190" s="128"/>
      <c r="M190" s="113"/>
    </row>
    <row r="191">
      <c r="A191" s="81" t="s">
        <v>83</v>
      </c>
      <c r="B191" s="82">
        <f>B41+B104+B124+B143+B171+B73</f>
        <v>3795314.265</v>
      </c>
      <c r="F191" s="113"/>
      <c r="G191" s="70"/>
      <c r="H191" s="70"/>
      <c r="I191" s="169"/>
      <c r="J191" s="148"/>
      <c r="K191" s="70"/>
    </row>
    <row r="192">
      <c r="A192" s="81" t="s">
        <v>84</v>
      </c>
      <c r="B192" s="82">
        <f>B188-B190-B191</f>
        <v>1933313.72</v>
      </c>
      <c r="G192" s="70"/>
      <c r="H192" s="157"/>
      <c r="I192" s="170"/>
      <c r="J192" s="148"/>
      <c r="K192" s="70"/>
    </row>
    <row r="193">
      <c r="A193" s="71" t="s">
        <v>85</v>
      </c>
      <c r="B193" s="78">
        <f>B192/B186</f>
        <v>0.1747480765</v>
      </c>
      <c r="G193" s="70"/>
      <c r="H193" s="70"/>
      <c r="I193" s="169"/>
      <c r="J193" s="148"/>
      <c r="K193" s="70"/>
    </row>
    <row r="194">
      <c r="A194" s="83" t="s">
        <v>86</v>
      </c>
      <c r="B194" s="84">
        <v>1100000.0</v>
      </c>
      <c r="E194" s="70"/>
      <c r="F194" s="70"/>
      <c r="G194" s="70"/>
      <c r="H194" s="129"/>
      <c r="I194" s="129"/>
      <c r="J194" s="70"/>
      <c r="K194" s="70"/>
    </row>
    <row r="195">
      <c r="A195" s="85" t="s">
        <v>87</v>
      </c>
      <c r="B195" s="86">
        <f>B187+B190+B191+B194</f>
        <v>10230119.76</v>
      </c>
      <c r="E195" s="129"/>
      <c r="F195" s="171"/>
      <c r="G195" s="129"/>
      <c r="H195" s="70"/>
      <c r="I195" s="70"/>
      <c r="J195" s="70"/>
      <c r="K195" s="70"/>
    </row>
    <row r="196">
      <c r="A196" s="87" t="s">
        <v>88</v>
      </c>
      <c r="B196" s="88">
        <f>B186-B195</f>
        <v>833313.72</v>
      </c>
      <c r="E196" s="70"/>
      <c r="F196" s="172"/>
      <c r="G196" s="70"/>
      <c r="H196" s="70"/>
      <c r="I196" s="70"/>
      <c r="J196" s="70"/>
      <c r="K196" s="70"/>
    </row>
    <row r="197">
      <c r="A197" s="71" t="s">
        <v>89</v>
      </c>
      <c r="B197" s="89">
        <f>B196/B186</f>
        <v>0.0753214381</v>
      </c>
      <c r="E197" s="70"/>
      <c r="F197" s="172"/>
      <c r="G197" s="70"/>
      <c r="H197" s="70"/>
      <c r="I197" s="70"/>
      <c r="J197" s="70"/>
      <c r="K197" s="70"/>
    </row>
    <row r="198">
      <c r="E198" s="70"/>
      <c r="F198" s="172"/>
      <c r="G198" s="70"/>
      <c r="H198" s="70"/>
      <c r="I198" s="70"/>
      <c r="J198" s="70"/>
      <c r="K198" s="70"/>
    </row>
    <row r="199">
      <c r="B199" s="60">
        <v>7.53</v>
      </c>
      <c r="E199" s="70"/>
      <c r="F199" s="172"/>
      <c r="G199" s="70"/>
      <c r="H199" s="70"/>
    </row>
    <row r="200">
      <c r="E200" s="129"/>
      <c r="F200" s="173"/>
      <c r="G200" s="129"/>
      <c r="H200" s="70"/>
    </row>
    <row r="201">
      <c r="E201" s="70"/>
      <c r="F201" s="70"/>
      <c r="G201" s="70"/>
      <c r="H201" s="70"/>
    </row>
    <row r="202">
      <c r="E202" s="70"/>
      <c r="F202" s="70"/>
      <c r="G202" s="70"/>
      <c r="H202" s="70"/>
    </row>
    <row r="203">
      <c r="E203" s="70"/>
      <c r="F203" s="70"/>
      <c r="G203" s="70"/>
      <c r="H203" s="70"/>
    </row>
    <row r="204">
      <c r="A204" s="139">
        <v>45839.0</v>
      </c>
      <c r="E204" s="70"/>
      <c r="F204" s="70"/>
      <c r="G204" s="70"/>
      <c r="H204" s="70"/>
    </row>
    <row r="205">
      <c r="A205" s="140" t="s">
        <v>122</v>
      </c>
      <c r="B205" s="140" t="s">
        <v>123</v>
      </c>
      <c r="C205" s="141" t="s">
        <v>124</v>
      </c>
      <c r="E205" s="60" t="s">
        <v>21</v>
      </c>
      <c r="F205" s="169">
        <f>B4+B49+B85+B114+B135+B151</f>
        <v>2416638.62</v>
      </c>
      <c r="G205" s="70"/>
      <c r="H205" s="70"/>
    </row>
    <row r="206">
      <c r="A206" s="142" t="s">
        <v>125</v>
      </c>
      <c r="B206" s="143">
        <f>B38</f>
        <v>5745638.15</v>
      </c>
      <c r="C206" s="144">
        <f t="shared" ref="C206:C211" si="86">B206/$B$212</f>
        <v>0.519335897</v>
      </c>
      <c r="E206" s="60" t="s">
        <v>23</v>
      </c>
      <c r="F206" s="169">
        <f>B6+B50+B86+B116+B137+B152+B180</f>
        <v>2559185.87</v>
      </c>
      <c r="G206" s="70"/>
      <c r="H206" s="70"/>
    </row>
    <row r="207">
      <c r="A207" s="142" t="s">
        <v>48</v>
      </c>
      <c r="B207" s="143">
        <f>B69</f>
        <v>4065786</v>
      </c>
      <c r="C207" s="144">
        <f t="shared" si="86"/>
        <v>0.3674976676</v>
      </c>
      <c r="E207" s="60" t="s">
        <v>25</v>
      </c>
      <c r="F207" s="169">
        <f>B8+B51+B87+B153</f>
        <v>450186.37</v>
      </c>
      <c r="G207" s="70"/>
      <c r="H207" s="70"/>
    </row>
    <row r="208">
      <c r="A208" s="142" t="s">
        <v>78</v>
      </c>
      <c r="B208" s="143">
        <f>B168</f>
        <v>291322.33</v>
      </c>
      <c r="C208" s="144">
        <f t="shared" si="86"/>
        <v>0.02633199996</v>
      </c>
      <c r="E208" s="60" t="s">
        <v>26</v>
      </c>
      <c r="F208" s="169">
        <f>B9+B52+B88+B115+B136+B154</f>
        <v>503338.37</v>
      </c>
      <c r="G208" s="70"/>
      <c r="H208" s="70"/>
    </row>
    <row r="209">
      <c r="A209" s="142" t="s">
        <v>64</v>
      </c>
      <c r="B209" s="143">
        <f>B98</f>
        <v>172647</v>
      </c>
      <c r="C209" s="144">
        <f t="shared" si="86"/>
        <v>0.01560519167</v>
      </c>
      <c r="E209" s="60" t="s">
        <v>28</v>
      </c>
      <c r="F209" s="128">
        <f>B11+B53+B89+B155</f>
        <v>0</v>
      </c>
    </row>
    <row r="210">
      <c r="A210" s="142" t="s">
        <v>70</v>
      </c>
      <c r="B210" s="143">
        <f>B118</f>
        <v>365385</v>
      </c>
      <c r="C210" s="144">
        <f t="shared" si="86"/>
        <v>0.0330263657</v>
      </c>
      <c r="E210" s="60" t="s">
        <v>29</v>
      </c>
      <c r="F210" s="169">
        <f>B12+B54+B90+B117+B156</f>
        <v>1164598.94</v>
      </c>
      <c r="G210" s="70"/>
      <c r="H210" s="70"/>
    </row>
    <row r="211">
      <c r="A211" s="142" t="s">
        <v>76</v>
      </c>
      <c r="B211" s="143">
        <f>B138</f>
        <v>195352</v>
      </c>
      <c r="C211" s="144">
        <f t="shared" si="86"/>
        <v>0.01765744788</v>
      </c>
      <c r="E211" s="60" t="s">
        <v>31</v>
      </c>
      <c r="F211" s="128">
        <f>B14+B55+B91+B157</f>
        <v>151960.63</v>
      </c>
    </row>
    <row r="212">
      <c r="A212" s="145" t="s">
        <v>38</v>
      </c>
      <c r="B212" s="146">
        <f>SUM(B206:B211)+B180</f>
        <v>11063433.48</v>
      </c>
      <c r="C212" s="192">
        <v>1.0</v>
      </c>
      <c r="E212" s="60" t="s">
        <v>32</v>
      </c>
      <c r="F212" s="128">
        <f>B158+B56+B15</f>
        <v>0</v>
      </c>
    </row>
    <row r="213">
      <c r="E213" s="60" t="s">
        <v>33</v>
      </c>
      <c r="F213" s="128">
        <f>B16+B57+B93+B159</f>
        <v>1666986.12</v>
      </c>
    </row>
    <row r="214">
      <c r="E214" s="60" t="s">
        <v>131</v>
      </c>
      <c r="F214" s="128">
        <f>B18+B65</f>
        <v>181611.54</v>
      </c>
    </row>
    <row r="215">
      <c r="E215" s="60" t="s">
        <v>54</v>
      </c>
      <c r="F215" s="128">
        <f>B160+B64+B58+B19+B20+B21+B22</f>
        <v>704386.68</v>
      </c>
    </row>
    <row r="216">
      <c r="E216" s="60" t="s">
        <v>93</v>
      </c>
      <c r="F216" s="128">
        <f>B5+B7+B10+B13+B17+B23+B24+B25+B26+B27+B28+B29+B30+B31+B32+B33+B59+B60+B61+B62+B63+B94+B95+B96+B97+B161+B162+B163+B164+B165</f>
        <v>1184044.34</v>
      </c>
    </row>
    <row r="217">
      <c r="A217" s="70"/>
      <c r="B217" s="70"/>
      <c r="C217" s="70"/>
      <c r="D217" s="70"/>
      <c r="E217" s="60" t="s">
        <v>94</v>
      </c>
      <c r="F217" s="60">
        <f>B92</f>
        <v>496</v>
      </c>
    </row>
    <row r="218">
      <c r="A218" s="70"/>
      <c r="B218" s="70"/>
      <c r="C218" s="70"/>
      <c r="D218" s="70"/>
    </row>
    <row r="219">
      <c r="A219" s="70"/>
      <c r="B219" s="70"/>
      <c r="C219" s="70"/>
      <c r="D219" s="70"/>
    </row>
    <row r="220">
      <c r="A220" s="90" t="s">
        <v>90</v>
      </c>
      <c r="B220" s="193" t="s">
        <v>144</v>
      </c>
      <c r="C220" s="129"/>
      <c r="D220" s="70"/>
    </row>
    <row r="221">
      <c r="A221" s="92" t="s">
        <v>91</v>
      </c>
      <c r="B221" s="93">
        <f>SUM(B222:B228)</f>
        <v>11144</v>
      </c>
      <c r="C221" s="148"/>
      <c r="D221" s="70"/>
    </row>
    <row r="222">
      <c r="A222" s="28" t="s">
        <v>92</v>
      </c>
      <c r="B222" s="27">
        <f>B37</f>
        <v>5264</v>
      </c>
      <c r="C222" s="148"/>
      <c r="D222" s="70"/>
    </row>
    <row r="223">
      <c r="A223" s="28" t="s">
        <v>48</v>
      </c>
      <c r="B223" s="27">
        <f>I66</f>
        <v>4202</v>
      </c>
      <c r="C223" s="148"/>
      <c r="D223" s="70"/>
    </row>
    <row r="224">
      <c r="A224" s="28" t="s">
        <v>64</v>
      </c>
      <c r="B224" s="27">
        <f>I98</f>
        <v>257</v>
      </c>
      <c r="C224" s="148"/>
      <c r="D224" s="70"/>
    </row>
    <row r="225">
      <c r="A225" s="28" t="s">
        <v>70</v>
      </c>
      <c r="B225" s="27">
        <f>H118</f>
        <v>571</v>
      </c>
      <c r="C225" s="148"/>
      <c r="D225" s="70"/>
    </row>
    <row r="226">
      <c r="A226" s="28" t="s">
        <v>76</v>
      </c>
      <c r="B226" s="27">
        <f>H138</f>
        <v>282</v>
      </c>
      <c r="C226" s="148"/>
      <c r="D226" s="70"/>
    </row>
    <row r="227">
      <c r="A227" s="28" t="s">
        <v>95</v>
      </c>
      <c r="B227" s="27">
        <f>H166</f>
        <v>341</v>
      </c>
      <c r="C227" s="148"/>
      <c r="D227" s="70"/>
    </row>
    <row r="228">
      <c r="A228" s="28" t="s">
        <v>96</v>
      </c>
      <c r="B228" s="28">
        <f>H180</f>
        <v>227</v>
      </c>
      <c r="C228" s="148"/>
      <c r="D228" s="70"/>
    </row>
    <row r="229">
      <c r="A229" s="92" t="s">
        <v>97</v>
      </c>
      <c r="B229" s="94">
        <f>SUM(B230:B236)</f>
        <v>11063433.48</v>
      </c>
      <c r="C229" s="149"/>
      <c r="D229" s="70"/>
    </row>
    <row r="230">
      <c r="A230" s="28" t="s">
        <v>92</v>
      </c>
      <c r="B230" s="95">
        <f>B38</f>
        <v>5745638.15</v>
      </c>
      <c r="C230" s="70"/>
      <c r="D230" s="70"/>
    </row>
    <row r="231">
      <c r="A231" s="28" t="s">
        <v>48</v>
      </c>
      <c r="B231" s="95">
        <f>B69</f>
        <v>4065786</v>
      </c>
      <c r="C231" s="70"/>
      <c r="D231" s="70"/>
    </row>
    <row r="232">
      <c r="A232" s="28" t="s">
        <v>64</v>
      </c>
      <c r="B232" s="95">
        <f>B101</f>
        <v>172647</v>
      </c>
      <c r="C232" s="70"/>
      <c r="D232" s="70"/>
    </row>
    <row r="233">
      <c r="A233" s="28" t="s">
        <v>70</v>
      </c>
      <c r="B233" s="95">
        <f>B121</f>
        <v>365385</v>
      </c>
      <c r="C233" s="70"/>
      <c r="D233" s="70"/>
    </row>
    <row r="234">
      <c r="A234" s="28" t="s">
        <v>76</v>
      </c>
      <c r="B234" s="95">
        <f>B140</f>
        <v>195352</v>
      </c>
    </row>
    <row r="235">
      <c r="A235" s="28" t="s">
        <v>95</v>
      </c>
      <c r="B235" s="95">
        <f>B168</f>
        <v>291322.33</v>
      </c>
    </row>
    <row r="236">
      <c r="A236" s="28" t="s">
        <v>96</v>
      </c>
      <c r="B236" s="95">
        <f>B180</f>
        <v>227303</v>
      </c>
    </row>
    <row r="237">
      <c r="A237" s="92" t="s">
        <v>98</v>
      </c>
      <c r="B237" s="94">
        <f>SUM(B238:B244)</f>
        <v>9933632.607</v>
      </c>
    </row>
    <row r="238">
      <c r="A238" s="28" t="s">
        <v>92</v>
      </c>
      <c r="B238" s="95">
        <f t="shared" ref="B238:B242" si="87">B230/1.12</f>
        <v>5130034.063</v>
      </c>
    </row>
    <row r="239">
      <c r="A239" s="28" t="s">
        <v>48</v>
      </c>
      <c r="B239" s="95">
        <f t="shared" si="87"/>
        <v>3630166.071</v>
      </c>
    </row>
    <row r="240">
      <c r="A240" s="28" t="s">
        <v>64</v>
      </c>
      <c r="B240" s="95">
        <f t="shared" si="87"/>
        <v>154149.1071</v>
      </c>
    </row>
    <row r="241">
      <c r="A241" s="28" t="s">
        <v>70</v>
      </c>
      <c r="B241" s="95">
        <f t="shared" si="87"/>
        <v>326236.6071</v>
      </c>
    </row>
    <row r="242">
      <c r="A242" s="28" t="s">
        <v>76</v>
      </c>
      <c r="B242" s="95">
        <f t="shared" si="87"/>
        <v>174421.4286</v>
      </c>
    </row>
    <row r="243">
      <c r="A243" s="28" t="s">
        <v>95</v>
      </c>
      <c r="B243" s="178">
        <f>B168</f>
        <v>291322.33</v>
      </c>
    </row>
    <row r="244">
      <c r="A244" s="28" t="s">
        <v>96</v>
      </c>
      <c r="B244" s="28">
        <f>B180</f>
        <v>227303</v>
      </c>
    </row>
    <row r="245">
      <c r="A245" s="90" t="s">
        <v>41</v>
      </c>
      <c r="B245" s="96">
        <f>B187/1.18</f>
        <v>3371130.508</v>
      </c>
    </row>
    <row r="246">
      <c r="A246" s="90" t="s">
        <v>80</v>
      </c>
      <c r="B246" s="97">
        <f>B237-B245</f>
        <v>6562502.098</v>
      </c>
    </row>
    <row r="247">
      <c r="A247" s="92" t="s">
        <v>99</v>
      </c>
      <c r="B247" s="98">
        <f>B246/B237</f>
        <v>0.6606346699</v>
      </c>
    </row>
    <row r="248">
      <c r="A248" s="99" t="s">
        <v>100</v>
      </c>
      <c r="B248" s="100">
        <f>B40+B72+B123+B142+B170</f>
        <v>887566.265</v>
      </c>
    </row>
    <row r="249">
      <c r="A249" s="99" t="s">
        <v>101</v>
      </c>
      <c r="B249" s="100">
        <f>B71</f>
        <v>461191.02</v>
      </c>
    </row>
    <row r="250">
      <c r="A250" s="101" t="s">
        <v>102</v>
      </c>
      <c r="B250" s="95">
        <f>B246-(B248+B249)</f>
        <v>5213744.813</v>
      </c>
    </row>
    <row r="251">
      <c r="A251" s="92" t="s">
        <v>103</v>
      </c>
      <c r="B251" s="98">
        <f>B250/B237</f>
        <v>0.5248578259</v>
      </c>
    </row>
    <row r="252">
      <c r="A252" s="28" t="s">
        <v>104</v>
      </c>
      <c r="B252" s="95">
        <f>B191/1.18</f>
        <v>3216368.021</v>
      </c>
    </row>
    <row r="253">
      <c r="A253" s="101" t="s">
        <v>105</v>
      </c>
      <c r="B253" s="95">
        <f>B250-B252</f>
        <v>1997376.792</v>
      </c>
    </row>
    <row r="254">
      <c r="A254" s="92" t="s">
        <v>106</v>
      </c>
      <c r="B254" s="102">
        <f>B253/B237</f>
        <v>0.2010721426</v>
      </c>
    </row>
    <row r="255">
      <c r="A255" s="28" t="s">
        <v>107</v>
      </c>
      <c r="B255" s="28">
        <v>650000.0</v>
      </c>
    </row>
    <row r="256">
      <c r="A256" s="28" t="s">
        <v>108</v>
      </c>
      <c r="B256" s="28">
        <v>350000.0</v>
      </c>
    </row>
    <row r="257">
      <c r="A257" s="28" t="s">
        <v>109</v>
      </c>
      <c r="B257" s="28">
        <v>70000.0</v>
      </c>
    </row>
    <row r="258">
      <c r="A258" s="28" t="s">
        <v>110</v>
      </c>
      <c r="B258" s="28">
        <v>18000.0</v>
      </c>
    </row>
    <row r="259">
      <c r="A259" s="28" t="s">
        <v>111</v>
      </c>
      <c r="B259" s="28">
        <v>45000.0</v>
      </c>
    </row>
    <row r="260">
      <c r="A260" s="101" t="s">
        <v>112</v>
      </c>
      <c r="B260" s="95">
        <f>B253-SUM(B255:B259)</f>
        <v>864376.7921</v>
      </c>
    </row>
    <row r="261">
      <c r="A261" s="92" t="s">
        <v>113</v>
      </c>
      <c r="B261" s="102">
        <f>B260/B237</f>
        <v>0.08701517625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3.63"/>
    <col customWidth="1" min="5" max="5" width="12.88"/>
    <col customWidth="1" min="9" max="9" width="14.63"/>
    <col customWidth="1" min="14" max="14" width="13.75"/>
    <col customWidth="1" min="16" max="16" width="15.13"/>
    <col customWidth="1" min="17" max="17" width="11.38"/>
  </cols>
  <sheetData>
    <row r="1">
      <c r="A1" s="1" t="s">
        <v>153</v>
      </c>
      <c r="B1" s="19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9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>
      <c r="A3" s="5" t="s">
        <v>2</v>
      </c>
      <c r="B3" s="196" t="s">
        <v>128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</row>
    <row r="4">
      <c r="A4" s="5" t="s">
        <v>21</v>
      </c>
      <c r="B4" s="197">
        <v>942559.2</v>
      </c>
      <c r="C4" s="9">
        <f t="shared" ref="C4:C11" si="1">G4+J4+L4</f>
        <v>345301</v>
      </c>
      <c r="D4" s="22">
        <f t="shared" ref="D4:D11" si="2">B4-C4</f>
        <v>597258.2</v>
      </c>
      <c r="E4" s="11">
        <f t="shared" ref="E4:E11" si="3">D4/B4*100</f>
        <v>63.36559019</v>
      </c>
      <c r="F4" s="12">
        <f t="shared" ref="F4:F11" si="4">D4/K4</f>
        <v>557.1438433</v>
      </c>
      <c r="G4" s="13"/>
      <c r="H4" s="8">
        <v>1205.0</v>
      </c>
      <c r="I4" s="8">
        <v>1177.0</v>
      </c>
      <c r="J4" s="14">
        <f t="shared" ref="J4:J11" si="5">K4*T4</f>
        <v>235840</v>
      </c>
      <c r="K4" s="8">
        <v>1072.0</v>
      </c>
      <c r="L4" s="15">
        <f t="shared" ref="L4:L34" si="6">I4*93</f>
        <v>109461</v>
      </c>
      <c r="M4" s="16">
        <f t="shared" ref="M4:M34" si="7">I4-K4-N4</f>
        <v>92</v>
      </c>
      <c r="N4" s="8">
        <v>13.0</v>
      </c>
      <c r="O4" s="17">
        <f t="shared" ref="O4:O11" si="8">M4/I4*100</f>
        <v>7.816482583</v>
      </c>
      <c r="P4" s="18">
        <f t="shared" ref="P4:P11" si="9">I4/H4*100</f>
        <v>97.67634855</v>
      </c>
      <c r="Q4" s="19">
        <f t="shared" ref="Q4:Q11" si="10">K4/I4*100</f>
        <v>91.07901444</v>
      </c>
      <c r="R4" s="12">
        <f t="shared" ref="R4:R11" si="11">G4/K4</f>
        <v>0</v>
      </c>
      <c r="S4" s="198">
        <f t="shared" ref="S4:S35" si="12">(I4-H4)/H4</f>
        <v>-0.02323651452</v>
      </c>
      <c r="T4" s="65">
        <v>220.0</v>
      </c>
      <c r="U4" s="3"/>
      <c r="V4" s="3"/>
      <c r="W4" s="150" t="s">
        <v>2</v>
      </c>
      <c r="X4" s="24" t="s">
        <v>145</v>
      </c>
      <c r="Y4" s="3"/>
      <c r="Z4" s="3"/>
    </row>
    <row r="5">
      <c r="A5" s="5" t="s">
        <v>22</v>
      </c>
      <c r="B5" s="197">
        <v>63231.48</v>
      </c>
      <c r="C5" s="9">
        <f t="shared" si="1"/>
        <v>24357</v>
      </c>
      <c r="D5" s="22">
        <f t="shared" si="2"/>
        <v>38874.48</v>
      </c>
      <c r="E5" s="11">
        <f t="shared" si="3"/>
        <v>61.47963008</v>
      </c>
      <c r="F5" s="12">
        <f t="shared" si="4"/>
        <v>863.8773333</v>
      </c>
      <c r="G5" s="13"/>
      <c r="H5" s="8">
        <v>52.0</v>
      </c>
      <c r="I5" s="8">
        <v>49.0</v>
      </c>
      <c r="J5" s="14">
        <f t="shared" si="5"/>
        <v>19800</v>
      </c>
      <c r="K5" s="8">
        <v>45.0</v>
      </c>
      <c r="L5" s="15">
        <f t="shared" si="6"/>
        <v>4557</v>
      </c>
      <c r="M5" s="16">
        <f t="shared" si="7"/>
        <v>4</v>
      </c>
      <c r="N5" s="13"/>
      <c r="O5" s="17">
        <f t="shared" si="8"/>
        <v>8.163265306</v>
      </c>
      <c r="P5" s="18">
        <f t="shared" si="9"/>
        <v>94.23076923</v>
      </c>
      <c r="Q5" s="19">
        <f t="shared" si="10"/>
        <v>91.83673469</v>
      </c>
      <c r="R5" s="12">
        <f t="shared" si="11"/>
        <v>0</v>
      </c>
      <c r="S5" s="198">
        <f t="shared" si="12"/>
        <v>-0.05769230769</v>
      </c>
      <c r="T5" s="65">
        <v>440.0</v>
      </c>
      <c r="U5" s="3"/>
      <c r="V5" s="3"/>
      <c r="W5" s="151" t="s">
        <v>21</v>
      </c>
      <c r="X5" s="65">
        <v>220.0</v>
      </c>
      <c r="Y5" s="3"/>
      <c r="Z5" s="3"/>
    </row>
    <row r="6">
      <c r="A6" s="5" t="s">
        <v>23</v>
      </c>
      <c r="B6" s="197">
        <v>1349421.86</v>
      </c>
      <c r="C6" s="21">
        <f t="shared" si="1"/>
        <v>515558</v>
      </c>
      <c r="D6" s="22">
        <f t="shared" si="2"/>
        <v>833863.86</v>
      </c>
      <c r="E6" s="11">
        <f t="shared" si="3"/>
        <v>61.7941568</v>
      </c>
      <c r="F6" s="12">
        <f t="shared" si="4"/>
        <v>663.9043471</v>
      </c>
      <c r="G6" s="23"/>
      <c r="H6" s="8">
        <v>1466.0</v>
      </c>
      <c r="I6" s="8">
        <v>1438.0</v>
      </c>
      <c r="J6" s="14">
        <f t="shared" si="5"/>
        <v>381824</v>
      </c>
      <c r="K6" s="8">
        <v>1256.0</v>
      </c>
      <c r="L6" s="15">
        <f t="shared" si="6"/>
        <v>133734</v>
      </c>
      <c r="M6" s="16">
        <f t="shared" si="7"/>
        <v>170</v>
      </c>
      <c r="N6" s="8">
        <v>12.0</v>
      </c>
      <c r="O6" s="17">
        <f t="shared" si="8"/>
        <v>11.82197497</v>
      </c>
      <c r="P6" s="18">
        <f t="shared" si="9"/>
        <v>98.09004093</v>
      </c>
      <c r="Q6" s="19">
        <f t="shared" si="10"/>
        <v>87.34353268</v>
      </c>
      <c r="R6" s="12">
        <f t="shared" si="11"/>
        <v>0</v>
      </c>
      <c r="S6" s="198">
        <f t="shared" si="12"/>
        <v>-0.01909959072</v>
      </c>
      <c r="T6" s="65">
        <v>304.0</v>
      </c>
      <c r="U6" s="3"/>
      <c r="V6" s="3"/>
      <c r="W6" s="151" t="s">
        <v>23</v>
      </c>
      <c r="X6" s="65">
        <v>304.0</v>
      </c>
      <c r="Y6" s="3"/>
      <c r="Z6" s="3"/>
    </row>
    <row r="7">
      <c r="A7" s="5" t="s">
        <v>24</v>
      </c>
      <c r="B7" s="197">
        <v>53423.07</v>
      </c>
      <c r="C7" s="21">
        <f t="shared" si="1"/>
        <v>19814</v>
      </c>
      <c r="D7" s="22">
        <f t="shared" si="2"/>
        <v>33609.07</v>
      </c>
      <c r="E7" s="11">
        <f t="shared" si="3"/>
        <v>62.9111543</v>
      </c>
      <c r="F7" s="12">
        <f t="shared" si="4"/>
        <v>1200.323929</v>
      </c>
      <c r="G7" s="23"/>
      <c r="H7" s="8">
        <v>30.0</v>
      </c>
      <c r="I7" s="8">
        <v>30.0</v>
      </c>
      <c r="J7" s="14">
        <f t="shared" si="5"/>
        <v>17024</v>
      </c>
      <c r="K7" s="8">
        <v>28.0</v>
      </c>
      <c r="L7" s="15">
        <f t="shared" si="6"/>
        <v>2790</v>
      </c>
      <c r="M7" s="16">
        <f t="shared" si="7"/>
        <v>2</v>
      </c>
      <c r="N7" s="13"/>
      <c r="O7" s="17">
        <f t="shared" si="8"/>
        <v>6.666666667</v>
      </c>
      <c r="P7" s="18">
        <f t="shared" si="9"/>
        <v>100</v>
      </c>
      <c r="Q7" s="19">
        <f t="shared" si="10"/>
        <v>93.33333333</v>
      </c>
      <c r="R7" s="12">
        <f t="shared" si="11"/>
        <v>0</v>
      </c>
      <c r="S7" s="198">
        <f t="shared" si="12"/>
        <v>0</v>
      </c>
      <c r="T7" s="65">
        <v>608.0</v>
      </c>
      <c r="U7" s="3"/>
      <c r="V7" s="3"/>
      <c r="W7" s="151" t="s">
        <v>25</v>
      </c>
      <c r="X7" s="65">
        <v>662.0</v>
      </c>
      <c r="Y7" s="3"/>
      <c r="Z7" s="3"/>
    </row>
    <row r="8">
      <c r="A8" s="5" t="s">
        <v>25</v>
      </c>
      <c r="B8" s="197">
        <v>299646.27</v>
      </c>
      <c r="C8" s="9">
        <f t="shared" si="1"/>
        <v>165208</v>
      </c>
      <c r="D8" s="22">
        <f t="shared" si="2"/>
        <v>134438.27</v>
      </c>
      <c r="E8" s="11">
        <f t="shared" si="3"/>
        <v>44.86565776</v>
      </c>
      <c r="F8" s="12">
        <f t="shared" si="4"/>
        <v>625.2942791</v>
      </c>
      <c r="G8" s="13"/>
      <c r="H8" s="8">
        <v>309.0</v>
      </c>
      <c r="I8" s="8">
        <v>246.0</v>
      </c>
      <c r="J8" s="14">
        <f t="shared" si="5"/>
        <v>142330</v>
      </c>
      <c r="K8" s="8">
        <v>215.0</v>
      </c>
      <c r="L8" s="15">
        <f t="shared" si="6"/>
        <v>22878</v>
      </c>
      <c r="M8" s="16">
        <f t="shared" si="7"/>
        <v>29</v>
      </c>
      <c r="N8" s="8">
        <v>2.0</v>
      </c>
      <c r="O8" s="17">
        <f t="shared" si="8"/>
        <v>11.78861789</v>
      </c>
      <c r="P8" s="18">
        <f t="shared" si="9"/>
        <v>79.61165049</v>
      </c>
      <c r="Q8" s="19">
        <f t="shared" si="10"/>
        <v>87.39837398</v>
      </c>
      <c r="R8" s="12">
        <f t="shared" si="11"/>
        <v>0</v>
      </c>
      <c r="S8" s="198">
        <f t="shared" si="12"/>
        <v>-0.2038834951</v>
      </c>
      <c r="T8" s="65">
        <v>662.0</v>
      </c>
      <c r="U8" s="3"/>
      <c r="V8" s="3"/>
      <c r="W8" s="151" t="s">
        <v>26</v>
      </c>
      <c r="X8" s="65">
        <v>184.0</v>
      </c>
      <c r="Y8" s="3"/>
      <c r="Z8" s="3"/>
    </row>
    <row r="9">
      <c r="A9" s="5" t="s">
        <v>26</v>
      </c>
      <c r="B9" s="197">
        <v>100529.77</v>
      </c>
      <c r="C9" s="9">
        <f t="shared" si="1"/>
        <v>57446</v>
      </c>
      <c r="D9" s="22">
        <f t="shared" si="2"/>
        <v>43083.77</v>
      </c>
      <c r="E9" s="11">
        <f t="shared" si="3"/>
        <v>42.85672791</v>
      </c>
      <c r="F9" s="12">
        <f t="shared" si="4"/>
        <v>215.41885</v>
      </c>
      <c r="G9" s="13"/>
      <c r="H9" s="8">
        <v>227.0</v>
      </c>
      <c r="I9" s="8">
        <v>222.0</v>
      </c>
      <c r="J9" s="14">
        <f t="shared" si="5"/>
        <v>36800</v>
      </c>
      <c r="K9" s="8">
        <v>200.0</v>
      </c>
      <c r="L9" s="15">
        <f t="shared" si="6"/>
        <v>20646</v>
      </c>
      <c r="M9" s="16">
        <f t="shared" si="7"/>
        <v>21</v>
      </c>
      <c r="N9" s="8">
        <v>1.0</v>
      </c>
      <c r="O9" s="17">
        <f t="shared" si="8"/>
        <v>9.459459459</v>
      </c>
      <c r="P9" s="18">
        <f t="shared" si="9"/>
        <v>97.79735683</v>
      </c>
      <c r="Q9" s="19">
        <f t="shared" si="10"/>
        <v>90.09009009</v>
      </c>
      <c r="R9" s="12">
        <f t="shared" si="11"/>
        <v>0</v>
      </c>
      <c r="S9" s="198">
        <f t="shared" si="12"/>
        <v>-0.02202643172</v>
      </c>
      <c r="T9" s="65">
        <v>184.0</v>
      </c>
      <c r="U9" s="3"/>
      <c r="V9" s="3"/>
      <c r="W9" s="151" t="s">
        <v>28</v>
      </c>
      <c r="X9" s="65">
        <v>206.0</v>
      </c>
      <c r="Y9" s="3"/>
      <c r="Z9" s="3"/>
    </row>
    <row r="10">
      <c r="A10" s="5" t="s">
        <v>27</v>
      </c>
      <c r="B10" s="197">
        <v>25519.54</v>
      </c>
      <c r="C10" s="9">
        <f t="shared" si="1"/>
        <v>15035</v>
      </c>
      <c r="D10" s="22">
        <f t="shared" si="2"/>
        <v>10484.54</v>
      </c>
      <c r="E10" s="11">
        <f t="shared" si="3"/>
        <v>41.08436124</v>
      </c>
      <c r="F10" s="12">
        <f t="shared" si="4"/>
        <v>338.2109677</v>
      </c>
      <c r="G10" s="13"/>
      <c r="H10" s="8">
        <v>44.0</v>
      </c>
      <c r="I10" s="8">
        <v>39.0</v>
      </c>
      <c r="J10" s="14">
        <f t="shared" si="5"/>
        <v>11408</v>
      </c>
      <c r="K10" s="8">
        <v>31.0</v>
      </c>
      <c r="L10" s="15">
        <f t="shared" si="6"/>
        <v>3627</v>
      </c>
      <c r="M10" s="16">
        <f t="shared" si="7"/>
        <v>8</v>
      </c>
      <c r="N10" s="13"/>
      <c r="O10" s="17">
        <f t="shared" si="8"/>
        <v>20.51282051</v>
      </c>
      <c r="P10" s="18">
        <f t="shared" si="9"/>
        <v>88.63636364</v>
      </c>
      <c r="Q10" s="19">
        <f t="shared" si="10"/>
        <v>79.48717949</v>
      </c>
      <c r="R10" s="12">
        <f t="shared" si="11"/>
        <v>0</v>
      </c>
      <c r="S10" s="198">
        <f t="shared" si="12"/>
        <v>-0.1136363636</v>
      </c>
      <c r="T10" s="65">
        <v>368.0</v>
      </c>
      <c r="U10" s="3"/>
      <c r="V10" s="3"/>
      <c r="W10" s="151" t="s">
        <v>29</v>
      </c>
      <c r="X10" s="65">
        <v>308.0</v>
      </c>
      <c r="Y10" s="3"/>
      <c r="Z10" s="3"/>
    </row>
    <row r="11">
      <c r="A11" s="5" t="s">
        <v>154</v>
      </c>
      <c r="B11" s="197">
        <v>1170.23</v>
      </c>
      <c r="C11" s="9">
        <f t="shared" si="1"/>
        <v>461</v>
      </c>
      <c r="D11" s="22">
        <f t="shared" si="2"/>
        <v>709.23</v>
      </c>
      <c r="E11" s="11">
        <f t="shared" si="3"/>
        <v>60.60603471</v>
      </c>
      <c r="F11" s="12">
        <f t="shared" si="4"/>
        <v>709.23</v>
      </c>
      <c r="G11" s="13"/>
      <c r="H11" s="8">
        <v>1.0</v>
      </c>
      <c r="I11" s="8">
        <v>1.0</v>
      </c>
      <c r="J11" s="14">
        <f t="shared" si="5"/>
        <v>368</v>
      </c>
      <c r="K11" s="8">
        <v>1.0</v>
      </c>
      <c r="L11" s="15">
        <f t="shared" si="6"/>
        <v>93</v>
      </c>
      <c r="M11" s="16">
        <f t="shared" si="7"/>
        <v>0</v>
      </c>
      <c r="N11" s="13"/>
      <c r="O11" s="17">
        <f t="shared" si="8"/>
        <v>0</v>
      </c>
      <c r="P11" s="18">
        <f t="shared" si="9"/>
        <v>100</v>
      </c>
      <c r="Q11" s="19">
        <f t="shared" si="10"/>
        <v>100</v>
      </c>
      <c r="R11" s="12">
        <f t="shared" si="11"/>
        <v>0</v>
      </c>
      <c r="S11" s="198">
        <f t="shared" si="12"/>
        <v>0</v>
      </c>
      <c r="T11" s="65">
        <v>368.0</v>
      </c>
      <c r="U11" s="3"/>
      <c r="V11" s="3"/>
      <c r="W11" s="151"/>
      <c r="X11" s="28"/>
      <c r="Y11" s="3"/>
      <c r="Z11" s="3"/>
    </row>
    <row r="12">
      <c r="A12" s="5" t="s">
        <v>28</v>
      </c>
      <c r="B12" s="197">
        <v>0.0</v>
      </c>
      <c r="C12" s="9">
        <v>0.0</v>
      </c>
      <c r="D12" s="10">
        <v>0.0</v>
      </c>
      <c r="E12" s="11">
        <v>0.0</v>
      </c>
      <c r="F12" s="12">
        <v>0.0</v>
      </c>
      <c r="G12" s="13"/>
      <c r="H12" s="8">
        <v>0.0</v>
      </c>
      <c r="I12" s="8">
        <v>0.0</v>
      </c>
      <c r="J12" s="14">
        <v>0.0</v>
      </c>
      <c r="K12" s="8">
        <v>0.0</v>
      </c>
      <c r="L12" s="15">
        <f t="shared" si="6"/>
        <v>0</v>
      </c>
      <c r="M12" s="16">
        <f t="shared" si="7"/>
        <v>0</v>
      </c>
      <c r="N12" s="13"/>
      <c r="O12" s="152"/>
      <c r="P12" s="153"/>
      <c r="Q12" s="154"/>
      <c r="R12" s="155"/>
      <c r="S12" s="198" t="str">
        <f t="shared" si="12"/>
        <v>#DIV/0!</v>
      </c>
      <c r="T12" s="65">
        <v>206.0</v>
      </c>
      <c r="U12" s="3"/>
      <c r="V12" s="3"/>
      <c r="W12" s="151" t="s">
        <v>31</v>
      </c>
      <c r="X12" s="65">
        <v>435.0</v>
      </c>
      <c r="Y12" s="3"/>
      <c r="Z12" s="3"/>
    </row>
    <row r="13">
      <c r="A13" s="5" t="s">
        <v>29</v>
      </c>
      <c r="B13" s="197">
        <v>1288854.05</v>
      </c>
      <c r="C13" s="9">
        <f t="shared" ref="C13:C15" si="13">G13+J13+L13</f>
        <v>493116</v>
      </c>
      <c r="D13" s="22">
        <f t="shared" ref="D13:D15" si="14">B13-C13</f>
        <v>795738.05</v>
      </c>
      <c r="E13" s="11">
        <f t="shared" ref="E13:E19" si="15">D13/B13*100</f>
        <v>61.73996582</v>
      </c>
      <c r="F13" s="12">
        <f t="shared" ref="F13:F15" si="16">D13/K13</f>
        <v>666.4472781</v>
      </c>
      <c r="G13" s="13"/>
      <c r="H13" s="8">
        <v>1367.0</v>
      </c>
      <c r="I13" s="8">
        <v>1348.0</v>
      </c>
      <c r="J13" s="14">
        <f t="shared" ref="J13:J15" si="17">K13*T13</f>
        <v>367752</v>
      </c>
      <c r="K13" s="8">
        <v>1194.0</v>
      </c>
      <c r="L13" s="15">
        <f t="shared" si="6"/>
        <v>125364</v>
      </c>
      <c r="M13" s="16">
        <f t="shared" si="7"/>
        <v>143</v>
      </c>
      <c r="N13" s="8">
        <v>11.0</v>
      </c>
      <c r="O13" s="17">
        <f t="shared" ref="O13:O15" si="18">M13/I13*100</f>
        <v>10.60830861</v>
      </c>
      <c r="P13" s="18">
        <f t="shared" ref="P13:P15" si="19">I13/H13*100</f>
        <v>98.6100951</v>
      </c>
      <c r="Q13" s="19">
        <f t="shared" ref="Q13:Q15" si="20">K13/I13*100</f>
        <v>88.57566766</v>
      </c>
      <c r="R13" s="12">
        <f t="shared" ref="R13:R15" si="21">G13/K13</f>
        <v>0</v>
      </c>
      <c r="S13" s="198">
        <f t="shared" si="12"/>
        <v>-0.01389904901</v>
      </c>
      <c r="T13" s="65">
        <v>308.0</v>
      </c>
      <c r="U13" s="3"/>
      <c r="V13" s="3"/>
      <c r="W13" s="151" t="s">
        <v>32</v>
      </c>
      <c r="X13" s="65">
        <v>699.0</v>
      </c>
      <c r="Y13" s="3"/>
      <c r="Z13" s="3"/>
    </row>
    <row r="14">
      <c r="A14" s="5" t="s">
        <v>30</v>
      </c>
      <c r="B14" s="197">
        <v>68710.27</v>
      </c>
      <c r="C14" s="21">
        <f t="shared" si="13"/>
        <v>27965</v>
      </c>
      <c r="D14" s="22">
        <f t="shared" si="14"/>
        <v>40745.27</v>
      </c>
      <c r="E14" s="11">
        <f t="shared" si="15"/>
        <v>59.30011627</v>
      </c>
      <c r="F14" s="12">
        <f t="shared" si="16"/>
        <v>1072.243947</v>
      </c>
      <c r="G14" s="23"/>
      <c r="H14" s="8">
        <v>49.0</v>
      </c>
      <c r="I14" s="8">
        <v>49.0</v>
      </c>
      <c r="J14" s="14">
        <f t="shared" si="17"/>
        <v>23408</v>
      </c>
      <c r="K14" s="8">
        <v>38.0</v>
      </c>
      <c r="L14" s="15">
        <f t="shared" si="6"/>
        <v>4557</v>
      </c>
      <c r="M14" s="16">
        <f t="shared" si="7"/>
        <v>11</v>
      </c>
      <c r="N14" s="13"/>
      <c r="O14" s="17">
        <f t="shared" si="18"/>
        <v>22.44897959</v>
      </c>
      <c r="P14" s="18">
        <f t="shared" si="19"/>
        <v>100</v>
      </c>
      <c r="Q14" s="19">
        <f t="shared" si="20"/>
        <v>77.55102041</v>
      </c>
      <c r="R14" s="12">
        <f t="shared" si="21"/>
        <v>0</v>
      </c>
      <c r="S14" s="198">
        <f t="shared" si="12"/>
        <v>0</v>
      </c>
      <c r="T14" s="65">
        <v>616.0</v>
      </c>
      <c r="U14" s="3"/>
      <c r="V14" s="3"/>
      <c r="W14" s="151" t="s">
        <v>33</v>
      </c>
      <c r="X14" s="65">
        <v>778.0</v>
      </c>
      <c r="Y14" s="3"/>
      <c r="Z14" s="3"/>
    </row>
    <row r="15">
      <c r="A15" s="5" t="s">
        <v>31</v>
      </c>
      <c r="B15" s="197">
        <v>81985.44</v>
      </c>
      <c r="C15" s="21">
        <f t="shared" si="13"/>
        <v>39693</v>
      </c>
      <c r="D15" s="22">
        <f t="shared" si="14"/>
        <v>42292.44</v>
      </c>
      <c r="E15" s="11">
        <f t="shared" si="15"/>
        <v>51.58530588</v>
      </c>
      <c r="F15" s="12">
        <f t="shared" si="16"/>
        <v>563.8992</v>
      </c>
      <c r="G15" s="23"/>
      <c r="H15" s="8">
        <v>84.0</v>
      </c>
      <c r="I15" s="8">
        <v>76.0</v>
      </c>
      <c r="J15" s="14">
        <f t="shared" si="17"/>
        <v>32625</v>
      </c>
      <c r="K15" s="8">
        <v>75.0</v>
      </c>
      <c r="L15" s="15">
        <f t="shared" si="6"/>
        <v>7068</v>
      </c>
      <c r="M15" s="16">
        <f t="shared" si="7"/>
        <v>1</v>
      </c>
      <c r="N15" s="13"/>
      <c r="O15" s="17">
        <f t="shared" si="18"/>
        <v>1.315789474</v>
      </c>
      <c r="P15" s="18">
        <f t="shared" si="19"/>
        <v>90.47619048</v>
      </c>
      <c r="Q15" s="19">
        <f t="shared" si="20"/>
        <v>98.68421053</v>
      </c>
      <c r="R15" s="12">
        <f t="shared" si="21"/>
        <v>0</v>
      </c>
      <c r="S15" s="198">
        <f t="shared" si="12"/>
        <v>-0.09523809524</v>
      </c>
      <c r="T15" s="65">
        <v>435.0</v>
      </c>
      <c r="U15" s="3"/>
      <c r="V15" s="3"/>
      <c r="W15" s="151" t="s">
        <v>131</v>
      </c>
      <c r="X15" s="65">
        <v>1009.0</v>
      </c>
      <c r="Y15" s="3"/>
      <c r="Z15" s="3"/>
    </row>
    <row r="16">
      <c r="A16" s="5" t="s">
        <v>32</v>
      </c>
      <c r="B16" s="197">
        <v>78328.33</v>
      </c>
      <c r="C16" s="21">
        <v>0.0</v>
      </c>
      <c r="D16" s="22">
        <v>0.0</v>
      </c>
      <c r="E16" s="11">
        <f t="shared" si="15"/>
        <v>0</v>
      </c>
      <c r="F16" s="12">
        <v>0.0</v>
      </c>
      <c r="G16" s="23"/>
      <c r="H16" s="8">
        <v>65.0</v>
      </c>
      <c r="I16" s="8">
        <v>59.0</v>
      </c>
      <c r="J16" s="14">
        <v>0.0</v>
      </c>
      <c r="K16" s="8">
        <v>55.0</v>
      </c>
      <c r="L16" s="15">
        <f t="shared" si="6"/>
        <v>5487</v>
      </c>
      <c r="M16" s="16">
        <f t="shared" si="7"/>
        <v>4</v>
      </c>
      <c r="N16" s="13"/>
      <c r="O16" s="152"/>
      <c r="P16" s="153"/>
      <c r="Q16" s="154"/>
      <c r="R16" s="155"/>
      <c r="S16" s="198">
        <f t="shared" si="12"/>
        <v>-0.09230769231</v>
      </c>
      <c r="T16" s="65">
        <v>699.0</v>
      </c>
      <c r="U16" s="3"/>
      <c r="V16" s="3"/>
      <c r="W16" s="156"/>
      <c r="X16" s="3"/>
      <c r="Y16" s="3"/>
      <c r="Z16" s="3"/>
    </row>
    <row r="17">
      <c r="A17" s="5" t="s">
        <v>33</v>
      </c>
      <c r="B17" s="197">
        <v>1219942.15</v>
      </c>
      <c r="C17" s="21">
        <f t="shared" ref="C17:C19" si="22">G17+J17+L17</f>
        <v>622983</v>
      </c>
      <c r="D17" s="22">
        <f t="shared" ref="D17:D19" si="23">B17-C17</f>
        <v>596959.15</v>
      </c>
      <c r="E17" s="11">
        <f t="shared" si="15"/>
        <v>48.93339819</v>
      </c>
      <c r="F17" s="12">
        <f t="shared" ref="F17:F19" si="24">D17/K17</f>
        <v>846.7505674</v>
      </c>
      <c r="G17" s="23"/>
      <c r="H17" s="8">
        <v>865.0</v>
      </c>
      <c r="I17" s="8">
        <v>801.0</v>
      </c>
      <c r="J17" s="14">
        <f t="shared" ref="J17:J19" si="25">K17*T17</f>
        <v>548490</v>
      </c>
      <c r="K17" s="8">
        <v>705.0</v>
      </c>
      <c r="L17" s="15">
        <f t="shared" si="6"/>
        <v>74493</v>
      </c>
      <c r="M17" s="16">
        <f t="shared" si="7"/>
        <v>91</v>
      </c>
      <c r="N17" s="8">
        <v>5.0</v>
      </c>
      <c r="O17" s="17">
        <f t="shared" ref="O17:O19" si="26">M17/I17*100</f>
        <v>11.360799</v>
      </c>
      <c r="P17" s="18">
        <f t="shared" ref="P17:P19" si="27">I17/H17*100</f>
        <v>92.60115607</v>
      </c>
      <c r="Q17" s="19">
        <f t="shared" ref="Q17:Q19" si="28">K17/I17*100</f>
        <v>88.01498127</v>
      </c>
      <c r="R17" s="12">
        <f t="shared" ref="R17:R19" si="29">G17/K17</f>
        <v>0</v>
      </c>
      <c r="S17" s="198">
        <f t="shared" si="12"/>
        <v>-0.07398843931</v>
      </c>
      <c r="T17" s="65">
        <v>778.0</v>
      </c>
      <c r="U17" s="3"/>
      <c r="V17" s="3"/>
      <c r="W17" s="3"/>
      <c r="X17" s="3"/>
      <c r="Y17" s="3"/>
      <c r="Z17" s="3"/>
    </row>
    <row r="18">
      <c r="A18" s="5" t="s">
        <v>34</v>
      </c>
      <c r="B18" s="197">
        <v>45827.25</v>
      </c>
      <c r="C18" s="21">
        <f t="shared" si="22"/>
        <v>29868</v>
      </c>
      <c r="D18" s="22">
        <f t="shared" si="23"/>
        <v>15959.25</v>
      </c>
      <c r="E18" s="11">
        <f t="shared" si="15"/>
        <v>34.82480402</v>
      </c>
      <c r="F18" s="12">
        <f t="shared" si="24"/>
        <v>886.625</v>
      </c>
      <c r="G18" s="23"/>
      <c r="H18" s="8">
        <v>28.0</v>
      </c>
      <c r="I18" s="8">
        <v>20.0</v>
      </c>
      <c r="J18" s="14">
        <f t="shared" si="25"/>
        <v>28008</v>
      </c>
      <c r="K18" s="8">
        <v>18.0</v>
      </c>
      <c r="L18" s="15">
        <f t="shared" si="6"/>
        <v>1860</v>
      </c>
      <c r="M18" s="16">
        <f t="shared" si="7"/>
        <v>2</v>
      </c>
      <c r="N18" s="13"/>
      <c r="O18" s="17">
        <f t="shared" si="26"/>
        <v>10</v>
      </c>
      <c r="P18" s="18">
        <f t="shared" si="27"/>
        <v>71.42857143</v>
      </c>
      <c r="Q18" s="19">
        <f t="shared" si="28"/>
        <v>90</v>
      </c>
      <c r="R18" s="12">
        <f t="shared" si="29"/>
        <v>0</v>
      </c>
      <c r="S18" s="198">
        <f t="shared" si="12"/>
        <v>-0.2857142857</v>
      </c>
      <c r="T18" s="65">
        <v>1556.0</v>
      </c>
      <c r="U18" s="3"/>
      <c r="V18" s="3"/>
      <c r="W18" s="3"/>
      <c r="X18" s="3"/>
      <c r="Y18" s="3"/>
      <c r="Z18" s="3"/>
    </row>
    <row r="19">
      <c r="A19" s="5" t="s">
        <v>131</v>
      </c>
      <c r="B19" s="197">
        <v>149456.29</v>
      </c>
      <c r="C19" s="21">
        <f t="shared" si="22"/>
        <v>110479</v>
      </c>
      <c r="D19" s="22">
        <f t="shared" si="23"/>
        <v>38977.29</v>
      </c>
      <c r="E19" s="11">
        <f t="shared" si="15"/>
        <v>26.07939084</v>
      </c>
      <c r="F19" s="12">
        <f t="shared" si="24"/>
        <v>389.7729</v>
      </c>
      <c r="G19" s="23"/>
      <c r="H19" s="8">
        <v>123.0</v>
      </c>
      <c r="I19" s="8">
        <v>103.0</v>
      </c>
      <c r="J19" s="14">
        <f t="shared" si="25"/>
        <v>100900</v>
      </c>
      <c r="K19" s="8">
        <v>100.0</v>
      </c>
      <c r="L19" s="15">
        <f t="shared" si="6"/>
        <v>9579</v>
      </c>
      <c r="M19" s="16">
        <f t="shared" si="7"/>
        <v>3</v>
      </c>
      <c r="N19" s="13"/>
      <c r="O19" s="17">
        <f t="shared" si="26"/>
        <v>2.912621359</v>
      </c>
      <c r="P19" s="18">
        <f t="shared" si="27"/>
        <v>83.7398374</v>
      </c>
      <c r="Q19" s="19">
        <f t="shared" si="28"/>
        <v>97.08737864</v>
      </c>
      <c r="R19" s="12">
        <f t="shared" si="29"/>
        <v>0</v>
      </c>
      <c r="S19" s="198">
        <f t="shared" si="12"/>
        <v>-0.162601626</v>
      </c>
      <c r="T19" s="65">
        <v>1009.0</v>
      </c>
      <c r="U19" s="3"/>
      <c r="V19" s="3"/>
      <c r="W19" s="3"/>
      <c r="X19" s="3"/>
      <c r="Y19" s="3"/>
      <c r="Z19" s="3"/>
    </row>
    <row r="20">
      <c r="A20" s="5" t="s">
        <v>37</v>
      </c>
      <c r="B20" s="197">
        <v>0.0</v>
      </c>
      <c r="C20" s="21">
        <v>0.0</v>
      </c>
      <c r="D20" s="22">
        <v>0.0</v>
      </c>
      <c r="E20" s="11">
        <v>0.0</v>
      </c>
      <c r="F20" s="12">
        <v>0.0</v>
      </c>
      <c r="G20" s="23"/>
      <c r="H20" s="8">
        <v>0.0</v>
      </c>
      <c r="I20" s="8">
        <v>0.0</v>
      </c>
      <c r="J20" s="14">
        <v>0.0</v>
      </c>
      <c r="K20" s="8">
        <v>0.0</v>
      </c>
      <c r="L20" s="15">
        <f t="shared" si="6"/>
        <v>0</v>
      </c>
      <c r="M20" s="16">
        <f t="shared" si="7"/>
        <v>0</v>
      </c>
      <c r="N20" s="13"/>
      <c r="O20" s="17">
        <v>0.0</v>
      </c>
      <c r="P20" s="18">
        <v>0.0</v>
      </c>
      <c r="Q20" s="19">
        <v>0.0</v>
      </c>
      <c r="R20" s="12">
        <v>0.0</v>
      </c>
      <c r="S20" s="198" t="str">
        <f t="shared" si="12"/>
        <v>#DIV/0!</v>
      </c>
      <c r="T20" s="65">
        <v>250.0</v>
      </c>
      <c r="U20" s="3"/>
      <c r="V20" s="3"/>
      <c r="W20" s="3"/>
      <c r="X20" s="3"/>
      <c r="Y20" s="3"/>
      <c r="Z20" s="3"/>
    </row>
    <row r="21">
      <c r="A21" s="5" t="s">
        <v>132</v>
      </c>
      <c r="B21" s="197">
        <v>120438.63</v>
      </c>
      <c r="C21" s="21">
        <f t="shared" ref="C21:C34" si="30">G21+J21+L21</f>
        <v>58866</v>
      </c>
      <c r="D21" s="22">
        <f t="shared" ref="D21:D34" si="31">B21-C21</f>
        <v>61572.63</v>
      </c>
      <c r="E21" s="11">
        <f t="shared" ref="E21:E34" si="32">D21/B21*100</f>
        <v>51.12365526</v>
      </c>
      <c r="F21" s="12">
        <f t="shared" ref="F21:F34" si="33">D21/K21</f>
        <v>421.7303425</v>
      </c>
      <c r="G21" s="23"/>
      <c r="H21" s="8">
        <v>185.0</v>
      </c>
      <c r="I21" s="8">
        <v>162.0</v>
      </c>
      <c r="J21" s="14">
        <f t="shared" ref="J21:J34" si="34">K21*T21</f>
        <v>43800</v>
      </c>
      <c r="K21" s="8">
        <v>146.0</v>
      </c>
      <c r="L21" s="15">
        <f t="shared" si="6"/>
        <v>15066</v>
      </c>
      <c r="M21" s="16">
        <f t="shared" si="7"/>
        <v>16</v>
      </c>
      <c r="N21" s="13"/>
      <c r="O21" s="17">
        <f t="shared" ref="O21:O34" si="35">M21/I21*100</f>
        <v>9.87654321</v>
      </c>
      <c r="P21" s="18">
        <f t="shared" ref="P21:P34" si="36">I21/H21*100</f>
        <v>87.56756757</v>
      </c>
      <c r="Q21" s="19">
        <f t="shared" ref="Q21:Q34" si="37">K21/I21*100</f>
        <v>90.12345679</v>
      </c>
      <c r="R21" s="12">
        <f t="shared" ref="R21:R34" si="38">G21/K21</f>
        <v>0</v>
      </c>
      <c r="S21" s="198">
        <f t="shared" si="12"/>
        <v>-0.1243243243</v>
      </c>
      <c r="T21" s="65">
        <v>300.0</v>
      </c>
      <c r="U21" s="3"/>
      <c r="V21" s="3"/>
      <c r="W21" s="3"/>
      <c r="X21" s="3"/>
      <c r="Y21" s="3"/>
      <c r="Z21" s="3"/>
    </row>
    <row r="22">
      <c r="A22" s="5" t="s">
        <v>146</v>
      </c>
      <c r="B22" s="197">
        <v>40924.57</v>
      </c>
      <c r="C22" s="21">
        <f t="shared" si="30"/>
        <v>18915</v>
      </c>
      <c r="D22" s="22">
        <f t="shared" si="31"/>
        <v>22009.57</v>
      </c>
      <c r="E22" s="11">
        <f t="shared" si="32"/>
        <v>53.78082164</v>
      </c>
      <c r="F22" s="12">
        <f t="shared" si="33"/>
        <v>478.468913</v>
      </c>
      <c r="G22" s="23"/>
      <c r="H22" s="8">
        <v>77.0</v>
      </c>
      <c r="I22" s="8">
        <v>55.0</v>
      </c>
      <c r="J22" s="14">
        <f t="shared" si="34"/>
        <v>13800</v>
      </c>
      <c r="K22" s="8">
        <v>46.0</v>
      </c>
      <c r="L22" s="15">
        <f t="shared" si="6"/>
        <v>5115</v>
      </c>
      <c r="M22" s="16">
        <f t="shared" si="7"/>
        <v>9</v>
      </c>
      <c r="N22" s="13"/>
      <c r="O22" s="17">
        <f t="shared" si="35"/>
        <v>16.36363636</v>
      </c>
      <c r="P22" s="18">
        <f t="shared" si="36"/>
        <v>71.42857143</v>
      </c>
      <c r="Q22" s="19">
        <f t="shared" si="37"/>
        <v>83.63636364</v>
      </c>
      <c r="R22" s="12">
        <f t="shared" si="38"/>
        <v>0</v>
      </c>
      <c r="S22" s="198">
        <f t="shared" si="12"/>
        <v>-0.2857142857</v>
      </c>
      <c r="T22" s="65">
        <v>300.0</v>
      </c>
      <c r="U22" s="3"/>
      <c r="V22" s="3"/>
      <c r="W22" s="3"/>
      <c r="X22" s="3"/>
      <c r="Y22" s="3"/>
      <c r="Z22" s="3"/>
    </row>
    <row r="23">
      <c r="A23" s="5" t="s">
        <v>133</v>
      </c>
      <c r="B23" s="197">
        <v>91236.38</v>
      </c>
      <c r="C23" s="21">
        <f t="shared" si="30"/>
        <v>55392</v>
      </c>
      <c r="D23" s="22">
        <f t="shared" si="31"/>
        <v>35844.38</v>
      </c>
      <c r="E23" s="11">
        <f t="shared" si="32"/>
        <v>39.28737637</v>
      </c>
      <c r="F23" s="12">
        <f t="shared" si="33"/>
        <v>256.0312857</v>
      </c>
      <c r="G23" s="23"/>
      <c r="H23" s="8">
        <v>249.0</v>
      </c>
      <c r="I23" s="8">
        <v>144.0</v>
      </c>
      <c r="J23" s="14">
        <f t="shared" si="34"/>
        <v>42000</v>
      </c>
      <c r="K23" s="8">
        <v>140.0</v>
      </c>
      <c r="L23" s="15">
        <f t="shared" si="6"/>
        <v>13392</v>
      </c>
      <c r="M23" s="16">
        <f t="shared" si="7"/>
        <v>4</v>
      </c>
      <c r="N23" s="13"/>
      <c r="O23" s="17">
        <f t="shared" si="35"/>
        <v>2.777777778</v>
      </c>
      <c r="P23" s="18">
        <f t="shared" si="36"/>
        <v>57.8313253</v>
      </c>
      <c r="Q23" s="19">
        <f t="shared" si="37"/>
        <v>97.22222222</v>
      </c>
      <c r="R23" s="12">
        <f t="shared" si="38"/>
        <v>0</v>
      </c>
      <c r="S23" s="198">
        <f t="shared" si="12"/>
        <v>-0.421686747</v>
      </c>
      <c r="T23" s="65">
        <v>300.0</v>
      </c>
      <c r="U23" s="3"/>
      <c r="V23" s="3"/>
      <c r="W23" s="3"/>
      <c r="X23" s="3"/>
      <c r="Y23" s="3"/>
      <c r="Z23" s="3"/>
    </row>
    <row r="24">
      <c r="A24" s="5" t="s">
        <v>134</v>
      </c>
      <c r="B24" s="197">
        <v>73657.35</v>
      </c>
      <c r="C24" s="21">
        <f t="shared" si="30"/>
        <v>39951</v>
      </c>
      <c r="D24" s="22">
        <f t="shared" si="31"/>
        <v>33706.35</v>
      </c>
      <c r="E24" s="11">
        <f t="shared" si="32"/>
        <v>45.76101367</v>
      </c>
      <c r="F24" s="12">
        <f t="shared" si="33"/>
        <v>1296.398077</v>
      </c>
      <c r="G24" s="23"/>
      <c r="H24" s="8">
        <v>48.0</v>
      </c>
      <c r="I24" s="8">
        <v>27.0</v>
      </c>
      <c r="J24" s="14">
        <f t="shared" si="34"/>
        <v>37440</v>
      </c>
      <c r="K24" s="8">
        <v>26.0</v>
      </c>
      <c r="L24" s="15">
        <f t="shared" si="6"/>
        <v>2511</v>
      </c>
      <c r="M24" s="16">
        <f t="shared" si="7"/>
        <v>1</v>
      </c>
      <c r="N24" s="13"/>
      <c r="O24" s="17">
        <f t="shared" si="35"/>
        <v>3.703703704</v>
      </c>
      <c r="P24" s="18">
        <f t="shared" si="36"/>
        <v>56.25</v>
      </c>
      <c r="Q24" s="19">
        <f t="shared" si="37"/>
        <v>96.2962963</v>
      </c>
      <c r="R24" s="12">
        <f t="shared" si="38"/>
        <v>0</v>
      </c>
      <c r="S24" s="198">
        <f t="shared" si="12"/>
        <v>-0.4375</v>
      </c>
      <c r="T24" s="65">
        <v>1440.0</v>
      </c>
      <c r="U24" s="3"/>
      <c r="V24" s="3"/>
      <c r="W24" s="3"/>
      <c r="X24" s="3"/>
      <c r="Y24" s="3"/>
      <c r="Z24" s="3"/>
    </row>
    <row r="25">
      <c r="A25" s="5" t="s">
        <v>135</v>
      </c>
      <c r="B25" s="197">
        <v>77391.53</v>
      </c>
      <c r="C25" s="21">
        <f t="shared" si="30"/>
        <v>50946</v>
      </c>
      <c r="D25" s="22">
        <f t="shared" si="31"/>
        <v>26445.53</v>
      </c>
      <c r="E25" s="11">
        <f t="shared" si="32"/>
        <v>34.17109082</v>
      </c>
      <c r="F25" s="12">
        <f t="shared" si="33"/>
        <v>979.4640741</v>
      </c>
      <c r="G25" s="23"/>
      <c r="H25" s="8">
        <v>36.0</v>
      </c>
      <c r="I25" s="8">
        <v>29.0</v>
      </c>
      <c r="J25" s="14">
        <f t="shared" si="34"/>
        <v>48249</v>
      </c>
      <c r="K25" s="8">
        <v>27.0</v>
      </c>
      <c r="L25" s="15">
        <f t="shared" si="6"/>
        <v>2697</v>
      </c>
      <c r="M25" s="16">
        <f t="shared" si="7"/>
        <v>2</v>
      </c>
      <c r="N25" s="13"/>
      <c r="O25" s="17">
        <f t="shared" si="35"/>
        <v>6.896551724</v>
      </c>
      <c r="P25" s="18">
        <f t="shared" si="36"/>
        <v>80.55555556</v>
      </c>
      <c r="Q25" s="19">
        <f t="shared" si="37"/>
        <v>93.10344828</v>
      </c>
      <c r="R25" s="12">
        <f t="shared" si="38"/>
        <v>0</v>
      </c>
      <c r="S25" s="198">
        <f t="shared" si="12"/>
        <v>-0.1944444444</v>
      </c>
      <c r="T25" s="65">
        <v>1787.0</v>
      </c>
      <c r="U25" s="3"/>
      <c r="V25" s="3"/>
      <c r="W25" s="3"/>
      <c r="X25" s="3"/>
      <c r="Y25" s="3"/>
      <c r="Z25" s="3"/>
    </row>
    <row r="26">
      <c r="A26" s="5" t="s">
        <v>136</v>
      </c>
      <c r="B26" s="197">
        <v>7145.28</v>
      </c>
      <c r="C26" s="21">
        <f t="shared" si="30"/>
        <v>2848</v>
      </c>
      <c r="D26" s="22">
        <f t="shared" si="31"/>
        <v>4297.28</v>
      </c>
      <c r="E26" s="11">
        <f t="shared" si="32"/>
        <v>60.14152</v>
      </c>
      <c r="F26" s="12">
        <f t="shared" si="33"/>
        <v>1074.32</v>
      </c>
      <c r="G26" s="23"/>
      <c r="H26" s="8">
        <v>5.0</v>
      </c>
      <c r="I26" s="8">
        <v>4.0</v>
      </c>
      <c r="J26" s="14">
        <f t="shared" si="34"/>
        <v>2476</v>
      </c>
      <c r="K26" s="8">
        <v>4.0</v>
      </c>
      <c r="L26" s="15">
        <f t="shared" si="6"/>
        <v>372</v>
      </c>
      <c r="M26" s="16">
        <f t="shared" si="7"/>
        <v>0</v>
      </c>
      <c r="N26" s="13"/>
      <c r="O26" s="17">
        <f t="shared" si="35"/>
        <v>0</v>
      </c>
      <c r="P26" s="18">
        <f t="shared" si="36"/>
        <v>80</v>
      </c>
      <c r="Q26" s="19">
        <f t="shared" si="37"/>
        <v>100</v>
      </c>
      <c r="R26" s="12">
        <f t="shared" si="38"/>
        <v>0</v>
      </c>
      <c r="S26" s="198">
        <f t="shared" si="12"/>
        <v>-0.2</v>
      </c>
      <c r="T26" s="65">
        <v>619.0</v>
      </c>
      <c r="U26" s="3"/>
      <c r="V26" s="3"/>
      <c r="W26" s="3"/>
      <c r="X26" s="3"/>
      <c r="Y26" s="3"/>
      <c r="Z26" s="3"/>
    </row>
    <row r="27">
      <c r="A27" s="5" t="s">
        <v>137</v>
      </c>
      <c r="B27" s="197">
        <v>92452.94</v>
      </c>
      <c r="C27" s="21">
        <f t="shared" si="30"/>
        <v>38051</v>
      </c>
      <c r="D27" s="22">
        <f t="shared" si="31"/>
        <v>54401.94</v>
      </c>
      <c r="E27" s="11">
        <f t="shared" si="32"/>
        <v>58.8428448</v>
      </c>
      <c r="F27" s="12">
        <f t="shared" si="33"/>
        <v>715.815</v>
      </c>
      <c r="G27" s="23"/>
      <c r="H27" s="8">
        <v>79.0</v>
      </c>
      <c r="I27" s="8">
        <v>79.0</v>
      </c>
      <c r="J27" s="14">
        <f t="shared" si="34"/>
        <v>30704</v>
      </c>
      <c r="K27" s="8">
        <v>76.0</v>
      </c>
      <c r="L27" s="15">
        <f t="shared" si="6"/>
        <v>7347</v>
      </c>
      <c r="M27" s="16">
        <f t="shared" si="7"/>
        <v>3</v>
      </c>
      <c r="N27" s="13"/>
      <c r="O27" s="17">
        <f t="shared" si="35"/>
        <v>3.797468354</v>
      </c>
      <c r="P27" s="18">
        <f t="shared" si="36"/>
        <v>100</v>
      </c>
      <c r="Q27" s="19">
        <f t="shared" si="37"/>
        <v>96.20253165</v>
      </c>
      <c r="R27" s="12">
        <f t="shared" si="38"/>
        <v>0</v>
      </c>
      <c r="S27" s="198">
        <f t="shared" si="12"/>
        <v>0</v>
      </c>
      <c r="T27" s="65">
        <v>404.0</v>
      </c>
      <c r="U27" s="3"/>
      <c r="V27" s="3"/>
      <c r="W27" s="3"/>
      <c r="X27" s="3"/>
      <c r="Y27" s="3"/>
      <c r="Z27" s="3"/>
    </row>
    <row r="28">
      <c r="A28" s="5" t="s">
        <v>138</v>
      </c>
      <c r="B28" s="197">
        <v>50024.6</v>
      </c>
      <c r="C28" s="21">
        <f t="shared" si="30"/>
        <v>19448</v>
      </c>
      <c r="D28" s="22">
        <f t="shared" si="31"/>
        <v>30576.6</v>
      </c>
      <c r="E28" s="11">
        <f t="shared" si="32"/>
        <v>61.12312742</v>
      </c>
      <c r="F28" s="12">
        <f t="shared" si="33"/>
        <v>1176.023077</v>
      </c>
      <c r="G28" s="23"/>
      <c r="H28" s="8">
        <v>28.0</v>
      </c>
      <c r="I28" s="8">
        <v>26.0</v>
      </c>
      <c r="J28" s="14">
        <f t="shared" si="34"/>
        <v>17030</v>
      </c>
      <c r="K28" s="8">
        <v>26.0</v>
      </c>
      <c r="L28" s="15">
        <f t="shared" si="6"/>
        <v>2418</v>
      </c>
      <c r="M28" s="16">
        <f t="shared" si="7"/>
        <v>0</v>
      </c>
      <c r="N28" s="13"/>
      <c r="O28" s="17">
        <f t="shared" si="35"/>
        <v>0</v>
      </c>
      <c r="P28" s="18">
        <f t="shared" si="36"/>
        <v>92.85714286</v>
      </c>
      <c r="Q28" s="19">
        <f t="shared" si="37"/>
        <v>100</v>
      </c>
      <c r="R28" s="12">
        <f t="shared" si="38"/>
        <v>0</v>
      </c>
      <c r="S28" s="198">
        <f t="shared" si="12"/>
        <v>-0.07142857143</v>
      </c>
      <c r="T28" s="65">
        <v>655.0</v>
      </c>
      <c r="U28" s="3"/>
      <c r="V28" s="3"/>
      <c r="W28" s="3"/>
      <c r="X28" s="3"/>
      <c r="Y28" s="3"/>
      <c r="Z28" s="3"/>
    </row>
    <row r="29">
      <c r="A29" s="5" t="s">
        <v>35</v>
      </c>
      <c r="B29" s="197">
        <v>40157.75</v>
      </c>
      <c r="C29" s="21">
        <f t="shared" si="30"/>
        <v>14193</v>
      </c>
      <c r="D29" s="22">
        <f t="shared" si="31"/>
        <v>25964.75</v>
      </c>
      <c r="E29" s="11">
        <f t="shared" si="32"/>
        <v>64.65688441</v>
      </c>
      <c r="F29" s="12">
        <f t="shared" si="33"/>
        <v>1298.2375</v>
      </c>
      <c r="G29" s="23"/>
      <c r="H29" s="8">
        <v>23.0</v>
      </c>
      <c r="I29" s="8">
        <v>21.0</v>
      </c>
      <c r="J29" s="14">
        <f t="shared" si="34"/>
        <v>12240</v>
      </c>
      <c r="K29" s="8">
        <v>20.0</v>
      </c>
      <c r="L29" s="15">
        <f t="shared" si="6"/>
        <v>1953</v>
      </c>
      <c r="M29" s="16">
        <f t="shared" si="7"/>
        <v>1</v>
      </c>
      <c r="N29" s="13"/>
      <c r="O29" s="17">
        <f t="shared" si="35"/>
        <v>4.761904762</v>
      </c>
      <c r="P29" s="18">
        <f t="shared" si="36"/>
        <v>91.30434783</v>
      </c>
      <c r="Q29" s="19">
        <f t="shared" si="37"/>
        <v>95.23809524</v>
      </c>
      <c r="R29" s="12">
        <f t="shared" si="38"/>
        <v>0</v>
      </c>
      <c r="S29" s="198">
        <f t="shared" si="12"/>
        <v>-0.08695652174</v>
      </c>
      <c r="T29" s="65">
        <v>612.0</v>
      </c>
      <c r="U29" s="3"/>
      <c r="V29" s="3"/>
      <c r="W29" s="3"/>
      <c r="X29" s="3"/>
      <c r="Y29" s="3"/>
      <c r="Z29" s="3"/>
    </row>
    <row r="30">
      <c r="A30" s="5" t="s">
        <v>139</v>
      </c>
      <c r="B30" s="197">
        <v>193336.68</v>
      </c>
      <c r="C30" s="21">
        <f t="shared" si="30"/>
        <v>86294</v>
      </c>
      <c r="D30" s="22">
        <f t="shared" si="31"/>
        <v>107042.68</v>
      </c>
      <c r="E30" s="11">
        <f t="shared" si="32"/>
        <v>55.36594504</v>
      </c>
      <c r="F30" s="12">
        <f t="shared" si="33"/>
        <v>1039.24932</v>
      </c>
      <c r="G30" s="23"/>
      <c r="H30" s="8">
        <v>118.0</v>
      </c>
      <c r="I30" s="8">
        <v>105.0</v>
      </c>
      <c r="J30" s="14">
        <f t="shared" si="34"/>
        <v>76529</v>
      </c>
      <c r="K30" s="8">
        <v>103.0</v>
      </c>
      <c r="L30" s="15">
        <f t="shared" si="6"/>
        <v>9765</v>
      </c>
      <c r="M30" s="16">
        <f t="shared" si="7"/>
        <v>2</v>
      </c>
      <c r="N30" s="13"/>
      <c r="O30" s="17">
        <f t="shared" si="35"/>
        <v>1.904761905</v>
      </c>
      <c r="P30" s="18">
        <f t="shared" si="36"/>
        <v>88.98305085</v>
      </c>
      <c r="Q30" s="19">
        <f t="shared" si="37"/>
        <v>98.0952381</v>
      </c>
      <c r="R30" s="12">
        <f t="shared" si="38"/>
        <v>0</v>
      </c>
      <c r="S30" s="198">
        <f t="shared" si="12"/>
        <v>-0.1101694915</v>
      </c>
      <c r="T30" s="65">
        <v>743.0</v>
      </c>
      <c r="U30" s="3"/>
      <c r="V30" s="3"/>
      <c r="W30" s="3"/>
      <c r="X30" s="3"/>
      <c r="Y30" s="3"/>
      <c r="Z30" s="3"/>
    </row>
    <row r="31">
      <c r="A31" s="5" t="s">
        <v>140</v>
      </c>
      <c r="B31" s="197">
        <v>92600.5</v>
      </c>
      <c r="C31" s="21">
        <f t="shared" si="30"/>
        <v>40768</v>
      </c>
      <c r="D31" s="22">
        <f t="shared" si="31"/>
        <v>51832.5</v>
      </c>
      <c r="E31" s="11">
        <f t="shared" si="32"/>
        <v>55.97431979</v>
      </c>
      <c r="F31" s="12">
        <f t="shared" si="33"/>
        <v>1057.806122</v>
      </c>
      <c r="G31" s="23"/>
      <c r="H31" s="8">
        <v>55.0</v>
      </c>
      <c r="I31" s="8">
        <v>49.0</v>
      </c>
      <c r="J31" s="14">
        <f t="shared" si="34"/>
        <v>36211</v>
      </c>
      <c r="K31" s="8">
        <v>49.0</v>
      </c>
      <c r="L31" s="15">
        <f t="shared" si="6"/>
        <v>4557</v>
      </c>
      <c r="M31" s="16">
        <f t="shared" si="7"/>
        <v>0</v>
      </c>
      <c r="N31" s="13"/>
      <c r="O31" s="17">
        <f t="shared" si="35"/>
        <v>0</v>
      </c>
      <c r="P31" s="18">
        <f t="shared" si="36"/>
        <v>89.09090909</v>
      </c>
      <c r="Q31" s="19">
        <f t="shared" si="37"/>
        <v>100</v>
      </c>
      <c r="R31" s="12">
        <f t="shared" si="38"/>
        <v>0</v>
      </c>
      <c r="S31" s="198">
        <f t="shared" si="12"/>
        <v>-0.1090909091</v>
      </c>
      <c r="T31" s="65">
        <v>739.0</v>
      </c>
      <c r="U31" s="3"/>
      <c r="V31" s="3"/>
      <c r="W31" s="3"/>
      <c r="X31" s="3"/>
      <c r="Y31" s="3"/>
      <c r="Z31" s="3"/>
    </row>
    <row r="32">
      <c r="A32" s="5" t="s">
        <v>141</v>
      </c>
      <c r="B32" s="197">
        <v>41994.66</v>
      </c>
      <c r="C32" s="21">
        <f t="shared" si="30"/>
        <v>13667</v>
      </c>
      <c r="D32" s="22">
        <f t="shared" si="31"/>
        <v>28327.66</v>
      </c>
      <c r="E32" s="11">
        <f t="shared" si="32"/>
        <v>67.45538599</v>
      </c>
      <c r="F32" s="12">
        <f t="shared" si="33"/>
        <v>1287.620909</v>
      </c>
      <c r="G32" s="23"/>
      <c r="H32" s="8">
        <v>26.0</v>
      </c>
      <c r="I32" s="8">
        <v>23.0</v>
      </c>
      <c r="J32" s="14">
        <f t="shared" si="34"/>
        <v>11528</v>
      </c>
      <c r="K32" s="8">
        <v>22.0</v>
      </c>
      <c r="L32" s="15">
        <f t="shared" si="6"/>
        <v>2139</v>
      </c>
      <c r="M32" s="16">
        <f t="shared" si="7"/>
        <v>1</v>
      </c>
      <c r="N32" s="13"/>
      <c r="O32" s="17">
        <f t="shared" si="35"/>
        <v>4.347826087</v>
      </c>
      <c r="P32" s="18">
        <f t="shared" si="36"/>
        <v>88.46153846</v>
      </c>
      <c r="Q32" s="19">
        <f t="shared" si="37"/>
        <v>95.65217391</v>
      </c>
      <c r="R32" s="12">
        <f t="shared" si="38"/>
        <v>0</v>
      </c>
      <c r="S32" s="198">
        <f t="shared" si="12"/>
        <v>-0.1153846154</v>
      </c>
      <c r="T32" s="65">
        <v>524.0</v>
      </c>
      <c r="U32" s="3"/>
      <c r="V32" s="3"/>
      <c r="W32" s="3"/>
      <c r="X32" s="3"/>
      <c r="Y32" s="3"/>
      <c r="Z32" s="3"/>
    </row>
    <row r="33">
      <c r="A33" s="5" t="s">
        <v>36</v>
      </c>
      <c r="B33" s="197">
        <v>3363.85</v>
      </c>
      <c r="C33" s="21">
        <f t="shared" si="30"/>
        <v>1170</v>
      </c>
      <c r="D33" s="22">
        <f t="shared" si="31"/>
        <v>2193.85</v>
      </c>
      <c r="E33" s="11">
        <f t="shared" si="32"/>
        <v>65.21842532</v>
      </c>
      <c r="F33" s="12">
        <f t="shared" si="33"/>
        <v>1096.925</v>
      </c>
      <c r="G33" s="23"/>
      <c r="H33" s="8">
        <v>2.0</v>
      </c>
      <c r="I33" s="8">
        <v>2.0</v>
      </c>
      <c r="J33" s="14">
        <f t="shared" si="34"/>
        <v>984</v>
      </c>
      <c r="K33" s="8">
        <v>2.0</v>
      </c>
      <c r="L33" s="15">
        <f t="shared" si="6"/>
        <v>186</v>
      </c>
      <c r="M33" s="16">
        <f t="shared" si="7"/>
        <v>0</v>
      </c>
      <c r="N33" s="13"/>
      <c r="O33" s="17">
        <f t="shared" si="35"/>
        <v>0</v>
      </c>
      <c r="P33" s="18">
        <f t="shared" si="36"/>
        <v>100</v>
      </c>
      <c r="Q33" s="19">
        <f t="shared" si="37"/>
        <v>100</v>
      </c>
      <c r="R33" s="12">
        <f t="shared" si="38"/>
        <v>0</v>
      </c>
      <c r="S33" s="198">
        <f t="shared" si="12"/>
        <v>0</v>
      </c>
      <c r="T33" s="65">
        <v>492.0</v>
      </c>
      <c r="U33" s="3"/>
      <c r="V33" s="3"/>
      <c r="W33" s="3"/>
      <c r="X33" s="3"/>
      <c r="Y33" s="3"/>
      <c r="Z33" s="3"/>
    </row>
    <row r="34">
      <c r="A34" s="199" t="s">
        <v>142</v>
      </c>
      <c r="B34" s="197">
        <v>31361.35</v>
      </c>
      <c r="C34" s="21">
        <f t="shared" si="30"/>
        <v>12387</v>
      </c>
      <c r="D34" s="22">
        <f t="shared" si="31"/>
        <v>18974.35</v>
      </c>
      <c r="E34" s="11">
        <f t="shared" si="32"/>
        <v>60.50233807</v>
      </c>
      <c r="F34" s="12">
        <f t="shared" si="33"/>
        <v>903.5404762</v>
      </c>
      <c r="G34" s="23"/>
      <c r="H34" s="197">
        <v>24.0</v>
      </c>
      <c r="I34" s="197">
        <v>23.0</v>
      </c>
      <c r="J34" s="200">
        <f t="shared" si="34"/>
        <v>10248</v>
      </c>
      <c r="K34" s="197">
        <v>21.0</v>
      </c>
      <c r="L34" s="201">
        <f t="shared" si="6"/>
        <v>2139</v>
      </c>
      <c r="M34" s="202">
        <f t="shared" si="7"/>
        <v>2</v>
      </c>
      <c r="N34" s="23"/>
      <c r="O34" s="17">
        <f t="shared" si="35"/>
        <v>8.695652174</v>
      </c>
      <c r="P34" s="18">
        <f t="shared" si="36"/>
        <v>95.83333333</v>
      </c>
      <c r="Q34" s="19">
        <f t="shared" si="37"/>
        <v>91.30434783</v>
      </c>
      <c r="R34" s="12">
        <f t="shared" si="38"/>
        <v>0</v>
      </c>
      <c r="S34" s="198">
        <f t="shared" si="12"/>
        <v>-0.04166666667</v>
      </c>
      <c r="T34" s="183">
        <v>488.0</v>
      </c>
      <c r="U34" s="37"/>
      <c r="V34" s="37"/>
      <c r="W34" s="37"/>
      <c r="X34" s="37"/>
      <c r="Y34" s="37"/>
      <c r="Z34" s="37"/>
    </row>
    <row r="35">
      <c r="A35" s="24" t="s">
        <v>38</v>
      </c>
      <c r="B35" s="179">
        <f>sum(B4:B34)+100000</f>
        <v>6824691.27</v>
      </c>
      <c r="C35" s="28"/>
      <c r="D35" s="179">
        <f>SUM(D4:D34)</f>
        <v>3726182.94</v>
      </c>
      <c r="E35" s="26"/>
      <c r="F35" s="26"/>
      <c r="G35" s="158">
        <v>4282226.0</v>
      </c>
      <c r="H35" s="25">
        <f t="shared" ref="H35:N35" si="39">SUM(H4:H34)</f>
        <v>6870</v>
      </c>
      <c r="I35" s="25">
        <f t="shared" si="39"/>
        <v>6407</v>
      </c>
      <c r="J35" s="25">
        <f t="shared" si="39"/>
        <v>2329816</v>
      </c>
      <c r="K35" s="25">
        <f t="shared" si="39"/>
        <v>5741</v>
      </c>
      <c r="L35" s="25">
        <f t="shared" si="39"/>
        <v>595851</v>
      </c>
      <c r="M35" s="25">
        <f t="shared" si="39"/>
        <v>622</v>
      </c>
      <c r="N35" s="25">
        <f t="shared" si="39"/>
        <v>44</v>
      </c>
      <c r="O35" s="203">
        <f>M35/K35</f>
        <v>0.1083434942</v>
      </c>
      <c r="P35" s="159">
        <f t="shared" ref="P35:Q35" si="40">AVERAGE(P4:P34)</f>
        <v>85.27799043</v>
      </c>
      <c r="Q35" s="159">
        <f t="shared" si="40"/>
        <v>89.56398935</v>
      </c>
      <c r="R35" s="29">
        <f>SUM(R4:R34)</f>
        <v>0</v>
      </c>
      <c r="S35" s="198">
        <f t="shared" si="12"/>
        <v>-0.0673944687</v>
      </c>
      <c r="T35" s="28"/>
      <c r="U35" s="3"/>
      <c r="V35" s="3"/>
      <c r="W35" s="156"/>
      <c r="X35" s="3"/>
      <c r="Y35" s="3"/>
      <c r="Z35" s="3"/>
    </row>
    <row r="36">
      <c r="A36" s="3"/>
      <c r="B36" s="37"/>
      <c r="C36" s="3"/>
      <c r="D36" s="3"/>
      <c r="E36" s="3"/>
      <c r="F36" s="3"/>
      <c r="G36" s="3"/>
      <c r="H36" s="3"/>
      <c r="I36" s="3"/>
      <c r="J36" s="35"/>
      <c r="K36" s="204"/>
      <c r="L36" s="3"/>
      <c r="M36" s="3"/>
      <c r="N36" s="3"/>
      <c r="O36" s="205"/>
      <c r="P36" s="3"/>
      <c r="Q36" s="3"/>
      <c r="R36" s="3"/>
      <c r="S36" s="3"/>
      <c r="T36" s="3"/>
      <c r="U36" s="3"/>
      <c r="V36" s="3"/>
      <c r="W36" s="156"/>
      <c r="X36" s="3"/>
      <c r="Y36" s="3"/>
      <c r="Z36" s="3"/>
    </row>
    <row r="37">
      <c r="A37" s="3"/>
      <c r="B37" s="37"/>
      <c r="C37" s="3"/>
      <c r="D37" s="3"/>
      <c r="E37" s="37"/>
      <c r="F37" s="3"/>
      <c r="G37" s="37"/>
      <c r="H37" s="3"/>
      <c r="I37" s="3"/>
      <c r="J37" s="205"/>
      <c r="K37" s="20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56"/>
      <c r="X37" s="3"/>
      <c r="Y37" s="3"/>
      <c r="Z37" s="3"/>
    </row>
    <row r="38">
      <c r="A38" s="3"/>
      <c r="B38" s="37"/>
      <c r="C38" s="3"/>
      <c r="D38" s="30" t="s">
        <v>39</v>
      </c>
      <c r="E38" s="37"/>
      <c r="F38" s="35"/>
      <c r="G38" s="3"/>
      <c r="H38" s="157"/>
      <c r="I38" s="157"/>
      <c r="J38" s="160"/>
      <c r="K38" s="161"/>
      <c r="L38" s="206">
        <f>L35/H35</f>
        <v>86.73231441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156"/>
      <c r="X38" s="3"/>
      <c r="Y38" s="3"/>
      <c r="Z38" s="3"/>
    </row>
    <row r="39">
      <c r="A39" s="31" t="s">
        <v>116</v>
      </c>
      <c r="B39" s="36">
        <f>K35</f>
        <v>5741</v>
      </c>
      <c r="C39" s="35"/>
      <c r="D39" s="69"/>
      <c r="E39" s="162"/>
      <c r="F39" s="35"/>
      <c r="G39" s="3"/>
      <c r="H39" s="157"/>
      <c r="I39" s="157"/>
      <c r="J39" s="163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3"/>
      <c r="Y39" s="3"/>
      <c r="Z39" s="3"/>
    </row>
    <row r="40">
      <c r="A40" s="31" t="s">
        <v>40</v>
      </c>
      <c r="B40" s="106">
        <f>B35</f>
        <v>6824691.27</v>
      </c>
      <c r="C40" s="35"/>
      <c r="D40" s="33" t="s">
        <v>41</v>
      </c>
      <c r="E40" s="34">
        <f>B41/B39</f>
        <v>405.8205887</v>
      </c>
      <c r="F40" s="35"/>
      <c r="G40" s="205"/>
      <c r="H40" s="157"/>
      <c r="I40" s="157"/>
      <c r="J40" s="160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3"/>
      <c r="Y40" s="3"/>
      <c r="Z40" s="3"/>
    </row>
    <row r="41">
      <c r="A41" s="31" t="s">
        <v>41</v>
      </c>
      <c r="B41" s="106">
        <f>J35</f>
        <v>2329816</v>
      </c>
      <c r="C41" s="35"/>
      <c r="D41" s="33" t="s">
        <v>42</v>
      </c>
      <c r="E41" s="34">
        <f>G35/B39</f>
        <v>745.902456</v>
      </c>
      <c r="F41" s="3"/>
      <c r="G41" s="205"/>
      <c r="H41" s="157"/>
      <c r="I41" s="157"/>
      <c r="J41" s="160"/>
      <c r="K41" s="161" t="s">
        <v>155</v>
      </c>
      <c r="L41" s="206">
        <v>735769.0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3"/>
      <c r="Y41" s="3"/>
      <c r="Z41" s="3"/>
    </row>
    <row r="42">
      <c r="A42" s="31" t="s">
        <v>43</v>
      </c>
      <c r="B42" s="106">
        <f>L35</f>
        <v>595851</v>
      </c>
      <c r="C42" s="35"/>
      <c r="D42" s="33" t="s">
        <v>43</v>
      </c>
      <c r="E42" s="34">
        <f>B42/B39</f>
        <v>103.7887128</v>
      </c>
      <c r="F42" s="3"/>
      <c r="G42" s="205"/>
      <c r="H42" s="157"/>
      <c r="I42" s="157"/>
      <c r="J42" s="160"/>
      <c r="K42" s="161"/>
      <c r="L42" s="206">
        <v>6870.0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3"/>
      <c r="Y42" s="3"/>
      <c r="Z42" s="3"/>
    </row>
    <row r="43">
      <c r="A43" s="31" t="s">
        <v>44</v>
      </c>
      <c r="B43" s="106">
        <f>G35</f>
        <v>4282226</v>
      </c>
      <c r="C43" s="35"/>
      <c r="D43" s="33" t="s">
        <v>45</v>
      </c>
      <c r="E43" s="34">
        <f>B40/B39</f>
        <v>1188.763503</v>
      </c>
      <c r="F43" s="3"/>
      <c r="G43" s="205"/>
      <c r="H43" s="157"/>
      <c r="I43" s="157"/>
      <c r="J43" s="157"/>
      <c r="K43" s="157"/>
      <c r="L43" s="206">
        <f>L41/L42</f>
        <v>107.0988355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1" t="s">
        <v>46</v>
      </c>
      <c r="B44" s="106">
        <f>B40-(B41+B42+B43)</f>
        <v>-383201.73</v>
      </c>
      <c r="C44" s="37"/>
      <c r="D44" s="3"/>
      <c r="E44" s="3"/>
      <c r="F44" s="3"/>
      <c r="G44" s="3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1" t="s">
        <v>47</v>
      </c>
      <c r="B45" s="114">
        <f>B44/B40</f>
        <v>-0.05614931355</v>
      </c>
      <c r="C45" s="3"/>
      <c r="D45" s="3"/>
      <c r="E45" s="3"/>
      <c r="F45" s="3"/>
      <c r="G45" s="3"/>
      <c r="H45" s="157"/>
      <c r="I45" s="157"/>
      <c r="J45" s="157"/>
      <c r="K45" s="157"/>
      <c r="L45" s="15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156"/>
      <c r="E46" s="3"/>
      <c r="F46" s="3"/>
      <c r="G46" s="3"/>
      <c r="H46" s="157"/>
      <c r="I46" s="157"/>
      <c r="J46" s="157"/>
      <c r="K46" s="157"/>
      <c r="L46" s="15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07"/>
      <c r="B47" s="208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>
      <c r="A48" s="1" t="s">
        <v>156</v>
      </c>
      <c r="B48" s="2" t="s">
        <v>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8" t="s">
        <v>49</v>
      </c>
      <c r="B50" s="24" t="s">
        <v>3</v>
      </c>
      <c r="C50" s="24" t="s">
        <v>4</v>
      </c>
      <c r="D50" s="24" t="s">
        <v>5</v>
      </c>
      <c r="E50" s="39" t="s">
        <v>6</v>
      </c>
      <c r="F50" s="24" t="s">
        <v>7</v>
      </c>
      <c r="G50" s="24" t="s">
        <v>9</v>
      </c>
      <c r="H50" s="24" t="s">
        <v>11</v>
      </c>
      <c r="I50" s="24" t="s">
        <v>12</v>
      </c>
      <c r="J50" s="24" t="s">
        <v>50</v>
      </c>
      <c r="K50" s="24" t="s">
        <v>51</v>
      </c>
      <c r="L50" s="39" t="s">
        <v>16</v>
      </c>
      <c r="M50" s="24" t="s">
        <v>52</v>
      </c>
      <c r="N50" s="40" t="s">
        <v>53</v>
      </c>
      <c r="O50" s="3"/>
    </row>
    <row r="51">
      <c r="A51" s="211" t="s">
        <v>21</v>
      </c>
      <c r="B51" s="212">
        <f>1138708.83+14251.38+11082.28+2599</f>
        <v>1166641.49</v>
      </c>
      <c r="C51" s="213">
        <f t="shared" ref="C51:C68" si="41">K51+H51+M51</f>
        <v>581417.76</v>
      </c>
      <c r="D51" s="214">
        <f t="shared" ref="D51:D68" si="42">B51-C51</f>
        <v>585223.73</v>
      </c>
      <c r="E51" s="215">
        <f t="shared" ref="E51:E68" si="43">D51/B51*100</f>
        <v>50.16311652</v>
      </c>
      <c r="F51" s="216">
        <f t="shared" ref="F51:F68" si="44">D51/I51</f>
        <v>467.8047402</v>
      </c>
      <c r="G51" s="217">
        <f>1341+11+8+2</f>
        <v>1362</v>
      </c>
      <c r="H51" s="218">
        <f>220*I51</f>
        <v>275220</v>
      </c>
      <c r="I51" s="219">
        <f>1232+11+7+1</f>
        <v>1251</v>
      </c>
      <c r="J51" s="218">
        <f t="shared" ref="J51:J68" si="45">G51-I51</f>
        <v>111</v>
      </c>
      <c r="K51" s="66">
        <f>( 291920.38+2454.39+2042.38 +725.78  )- (111681.35+147.51)</f>
        <v>185314.07</v>
      </c>
      <c r="L51" s="50">
        <f t="shared" ref="L51:L68" si="46">J51/G51*100</f>
        <v>8.149779736</v>
      </c>
      <c r="M51" s="220">
        <f> 120883.69 
</f>
        <v>120883.69</v>
      </c>
      <c r="N51" s="52">
        <f>J51*999</f>
        <v>110889</v>
      </c>
      <c r="O51" s="53">
        <f t="shared" ref="O51:O67" si="47">B51/M51</f>
        <v>9.650942075</v>
      </c>
      <c r="P51" s="54">
        <f>B51/B69*100</f>
        <v>37.09242703</v>
      </c>
    </row>
    <row r="52">
      <c r="A52" s="211" t="s">
        <v>23</v>
      </c>
      <c r="B52" s="212">
        <f>692116.65+13022.36</f>
        <v>705139.01</v>
      </c>
      <c r="C52" s="213">
        <f t="shared" si="41"/>
        <v>414596.77</v>
      </c>
      <c r="D52" s="214">
        <f t="shared" si="42"/>
        <v>290542.24</v>
      </c>
      <c r="E52" s="215">
        <f t="shared" si="43"/>
        <v>41.20354085</v>
      </c>
      <c r="F52" s="216">
        <f t="shared" si="44"/>
        <v>451.1525466</v>
      </c>
      <c r="G52" s="217">
        <f>692+9</f>
        <v>701</v>
      </c>
      <c r="H52" s="218">
        <f>304*I52</f>
        <v>195776</v>
      </c>
      <c r="I52" s="219">
        <f>635+9</f>
        <v>644</v>
      </c>
      <c r="J52" s="218">
        <f t="shared" si="45"/>
        <v>57</v>
      </c>
      <c r="K52" s="66">
        <f>(173490.05+2055.76) -34613.56</f>
        <v>140932.25</v>
      </c>
      <c r="L52" s="50">
        <f t="shared" si="46"/>
        <v>8.131241084</v>
      </c>
      <c r="M52" s="220">
        <f> 77888.52 
</f>
        <v>77888.52</v>
      </c>
      <c r="N52" s="52">
        <f>J52*1119</f>
        <v>63783</v>
      </c>
      <c r="O52" s="53">
        <f t="shared" si="47"/>
        <v>9.053182805</v>
      </c>
      <c r="P52" s="54">
        <f>B52/B69*100</f>
        <v>22.41932719</v>
      </c>
    </row>
    <row r="53">
      <c r="A53" s="211" t="s">
        <v>25</v>
      </c>
      <c r="B53" s="212">
        <f>17982+31780</f>
        <v>49762</v>
      </c>
      <c r="C53" s="221">
        <f t="shared" si="41"/>
        <v>34936.57</v>
      </c>
      <c r="D53" s="214">
        <f t="shared" si="42"/>
        <v>14825.43</v>
      </c>
      <c r="E53" s="215">
        <f t="shared" si="43"/>
        <v>29.79267312</v>
      </c>
      <c r="F53" s="216">
        <f t="shared" si="44"/>
        <v>436.0420588</v>
      </c>
      <c r="G53" s="217">
        <f>9+28</f>
        <v>37</v>
      </c>
      <c r="H53" s="218">
        <f> 662*I53</f>
        <v>22508</v>
      </c>
      <c r="I53" s="219">
        <f>9+25</f>
        <v>34</v>
      </c>
      <c r="J53" s="218">
        <f t="shared" si="45"/>
        <v>3</v>
      </c>
      <c r="K53" s="66">
        <f>(5689.34+6732.75 )-(3339.18+0)</f>
        <v>9082.91</v>
      </c>
      <c r="L53" s="50">
        <f t="shared" si="46"/>
        <v>8.108108108</v>
      </c>
      <c r="M53" s="51">
        <f> 3345.66 
</f>
        <v>3345.66</v>
      </c>
      <c r="N53" s="52">
        <f>J53*1799</f>
        <v>5397</v>
      </c>
      <c r="O53" s="53">
        <f t="shared" si="47"/>
        <v>14.87359744</v>
      </c>
      <c r="P53" s="54">
        <f>B53/B69*100</f>
        <v>1.582142732</v>
      </c>
    </row>
    <row r="54">
      <c r="A54" s="211" t="s">
        <v>26</v>
      </c>
      <c r="B54" s="212">
        <f>6469.13+223276.52+6079.2</f>
        <v>235824.85</v>
      </c>
      <c r="C54" s="213">
        <f t="shared" si="41"/>
        <v>186281.05</v>
      </c>
      <c r="D54" s="214">
        <f t="shared" si="42"/>
        <v>49543.8</v>
      </c>
      <c r="E54" s="215">
        <f t="shared" si="43"/>
        <v>21.00872745</v>
      </c>
      <c r="F54" s="216">
        <f t="shared" si="44"/>
        <v>94.73001912</v>
      </c>
      <c r="G54" s="217">
        <f>552+10+7</f>
        <v>569</v>
      </c>
      <c r="H54" s="218">
        <f>184*I54</f>
        <v>96232</v>
      </c>
      <c r="I54" s="219">
        <f>506+10+7</f>
        <v>523</v>
      </c>
      <c r="J54" s="218">
        <f t="shared" si="45"/>
        <v>46</v>
      </c>
      <c r="K54" s="66">
        <f>(939.08+67761.06+737.96 ) -(10.98+28250.59)</f>
        <v>41176.53</v>
      </c>
      <c r="L54" s="50">
        <f t="shared" si="46"/>
        <v>8.084358524</v>
      </c>
      <c r="M54" s="220">
        <f> 48872.52 
</f>
        <v>48872.52</v>
      </c>
      <c r="N54" s="52">
        <f>J54*499</f>
        <v>22954</v>
      </c>
      <c r="O54" s="53">
        <f t="shared" si="47"/>
        <v>4.825305714</v>
      </c>
      <c r="P54" s="54">
        <f>B54/B69*100</f>
        <v>7.497861268</v>
      </c>
    </row>
    <row r="55">
      <c r="A55" s="211" t="s">
        <v>28</v>
      </c>
      <c r="B55" s="222">
        <v>0.0</v>
      </c>
      <c r="C55" s="221">
        <f t="shared" si="41"/>
        <v>0</v>
      </c>
      <c r="D55" s="214">
        <f t="shared" si="42"/>
        <v>0</v>
      </c>
      <c r="E55" s="215" t="str">
        <f t="shared" si="43"/>
        <v>#DIV/0!</v>
      </c>
      <c r="F55" s="216" t="str">
        <f t="shared" si="44"/>
        <v>#DIV/0!</v>
      </c>
      <c r="G55" s="223">
        <v>0.0</v>
      </c>
      <c r="H55" s="218">
        <f>250*I55</f>
        <v>0</v>
      </c>
      <c r="I55" s="224">
        <v>0.0</v>
      </c>
      <c r="J55" s="218">
        <f t="shared" si="45"/>
        <v>0</v>
      </c>
      <c r="K55" s="225">
        <v>0.0</v>
      </c>
      <c r="L55" s="50" t="str">
        <f t="shared" si="46"/>
        <v>#DIV/0!</v>
      </c>
      <c r="M55" s="65">
        <v>0.0</v>
      </c>
      <c r="N55" s="52">
        <f>J55*1049</f>
        <v>0</v>
      </c>
      <c r="O55" s="53" t="str">
        <f t="shared" si="47"/>
        <v>#DIV/0!</v>
      </c>
      <c r="P55" s="54">
        <f>B55/B69*100</f>
        <v>0</v>
      </c>
    </row>
    <row r="56">
      <c r="A56" s="211" t="s">
        <v>29</v>
      </c>
      <c r="B56" s="212">
        <f>338681</f>
        <v>338681</v>
      </c>
      <c r="C56" s="213">
        <f t="shared" si="41"/>
        <v>268370.75</v>
      </c>
      <c r="D56" s="214">
        <f t="shared" si="42"/>
        <v>70310.25</v>
      </c>
      <c r="E56" s="215">
        <f t="shared" si="43"/>
        <v>20.76002197</v>
      </c>
      <c r="F56" s="216">
        <f t="shared" si="44"/>
        <v>229.0236156</v>
      </c>
      <c r="G56" s="217">
        <f>345</f>
        <v>345</v>
      </c>
      <c r="H56" s="218">
        <f>308*I56</f>
        <v>94556</v>
      </c>
      <c r="I56" s="219">
        <f>307</f>
        <v>307</v>
      </c>
      <c r="J56" s="218">
        <f t="shared" si="45"/>
        <v>38</v>
      </c>
      <c r="K56" s="66">
        <f>(144146.76+956.42)-70714.36</f>
        <v>74388.82</v>
      </c>
      <c r="L56" s="50">
        <f t="shared" si="46"/>
        <v>11.01449275</v>
      </c>
      <c r="M56" s="220">
        <f> 99425.93 
</f>
        <v>99425.93</v>
      </c>
      <c r="N56" s="52">
        <f>J56*1249</f>
        <v>47462</v>
      </c>
      <c r="O56" s="53">
        <f t="shared" si="47"/>
        <v>3.406364919</v>
      </c>
      <c r="P56" s="54">
        <f>B56/B69*100</f>
        <v>10.76808976</v>
      </c>
    </row>
    <row r="57">
      <c r="A57" s="211" t="s">
        <v>31</v>
      </c>
      <c r="B57" s="212">
        <f>123498.91</f>
        <v>123498.91</v>
      </c>
      <c r="C57" s="213">
        <f t="shared" si="41"/>
        <v>120968.89</v>
      </c>
      <c r="D57" s="214">
        <f t="shared" si="42"/>
        <v>2530.02</v>
      </c>
      <c r="E57" s="215">
        <f t="shared" si="43"/>
        <v>2.048617271</v>
      </c>
      <c r="F57" s="216">
        <f t="shared" si="44"/>
        <v>22.58946429</v>
      </c>
      <c r="G57" s="217">
        <f>122</f>
        <v>122</v>
      </c>
      <c r="H57" s="218">
        <f>435*I57</f>
        <v>48720</v>
      </c>
      <c r="I57" s="219">
        <f>112</f>
        <v>112</v>
      </c>
      <c r="J57" s="218">
        <f t="shared" si="45"/>
        <v>10</v>
      </c>
      <c r="K57" s="66">
        <f>59245.81-35860.19</f>
        <v>23385.62</v>
      </c>
      <c r="L57" s="50">
        <f t="shared" si="46"/>
        <v>8.196721311</v>
      </c>
      <c r="M57" s="220">
        <f>48863.27
</f>
        <v>48863.27</v>
      </c>
      <c r="N57" s="52">
        <f>J57*1349</f>
        <v>13490</v>
      </c>
      <c r="O57" s="53">
        <f t="shared" si="47"/>
        <v>2.527438503</v>
      </c>
      <c r="P57" s="54">
        <f>B57/B69*100</f>
        <v>3.926548428</v>
      </c>
    </row>
    <row r="58">
      <c r="A58" s="211" t="s">
        <v>32</v>
      </c>
      <c r="B58" s="222">
        <v>0.0</v>
      </c>
      <c r="C58" s="221">
        <f t="shared" si="41"/>
        <v>0</v>
      </c>
      <c r="D58" s="214">
        <f t="shared" si="42"/>
        <v>0</v>
      </c>
      <c r="E58" s="215" t="str">
        <f t="shared" si="43"/>
        <v>#DIV/0!</v>
      </c>
      <c r="F58" s="216" t="str">
        <f t="shared" si="44"/>
        <v>#DIV/0!</v>
      </c>
      <c r="G58" s="223">
        <v>0.0</v>
      </c>
      <c r="H58" s="218">
        <f>800*I58</f>
        <v>0</v>
      </c>
      <c r="I58" s="224">
        <v>0.0</v>
      </c>
      <c r="J58" s="218">
        <f t="shared" si="45"/>
        <v>0</v>
      </c>
      <c r="K58" s="225">
        <v>0.0</v>
      </c>
      <c r="L58" s="50" t="str">
        <f t="shared" si="46"/>
        <v>#DIV/0!</v>
      </c>
      <c r="M58" s="65">
        <v>0.0</v>
      </c>
      <c r="N58" s="52">
        <f>J58*1899</f>
        <v>0</v>
      </c>
      <c r="O58" s="53" t="str">
        <f t="shared" si="47"/>
        <v>#DIV/0!</v>
      </c>
      <c r="P58" s="54">
        <f>B58/B69*100</f>
        <v>0</v>
      </c>
    </row>
    <row r="59">
      <c r="A59" s="211" t="s">
        <v>33</v>
      </c>
      <c r="B59" s="212">
        <f>29887+122036.98</f>
        <v>151923.98</v>
      </c>
      <c r="C59" s="213">
        <f t="shared" si="41"/>
        <v>146678.44</v>
      </c>
      <c r="D59" s="214">
        <f t="shared" si="42"/>
        <v>5245.54</v>
      </c>
      <c r="E59" s="215">
        <f t="shared" si="43"/>
        <v>3.452739982</v>
      </c>
      <c r="F59" s="216">
        <f t="shared" si="44"/>
        <v>63.97</v>
      </c>
      <c r="G59" s="217">
        <f>13+81</f>
        <v>94</v>
      </c>
      <c r="H59" s="218">
        <f>778*I59</f>
        <v>63796</v>
      </c>
      <c r="I59" s="219">
        <f>13+69</f>
        <v>82</v>
      </c>
      <c r="J59" s="218">
        <f t="shared" si="45"/>
        <v>12</v>
      </c>
      <c r="K59" s="66">
        <f>(3839.49+29382.45 )-(2525.93-10919.85)</f>
        <v>41615.86</v>
      </c>
      <c r="L59" s="50">
        <f t="shared" si="46"/>
        <v>12.76595745</v>
      </c>
      <c r="M59" s="220">
        <f> 41266.58 
</f>
        <v>41266.58</v>
      </c>
      <c r="N59" s="52">
        <f>J59*1999</f>
        <v>23988</v>
      </c>
      <c r="O59" s="53">
        <f t="shared" si="47"/>
        <v>3.681525825</v>
      </c>
      <c r="P59" s="54">
        <f>B59/B69*100</f>
        <v>4.830300646</v>
      </c>
    </row>
    <row r="60">
      <c r="A60" s="211" t="s">
        <v>54</v>
      </c>
      <c r="B60" s="212">
        <f>20363</f>
        <v>20363</v>
      </c>
      <c r="C60" s="213">
        <f t="shared" si="41"/>
        <v>16189.54</v>
      </c>
      <c r="D60" s="214">
        <f t="shared" si="42"/>
        <v>4173.46</v>
      </c>
      <c r="E60" s="215">
        <f t="shared" si="43"/>
        <v>20.49531012</v>
      </c>
      <c r="F60" s="216">
        <f t="shared" si="44"/>
        <v>107.0117949</v>
      </c>
      <c r="G60" s="217">
        <f>45</f>
        <v>45</v>
      </c>
      <c r="H60" s="218">
        <f>200*I60</f>
        <v>7800</v>
      </c>
      <c r="I60" s="219">
        <f>39</f>
        <v>39</v>
      </c>
      <c r="J60" s="218">
        <f t="shared" si="45"/>
        <v>6</v>
      </c>
      <c r="K60" s="66">
        <f>8457.32 -(4605.01)</f>
        <v>3852.31</v>
      </c>
      <c r="L60" s="50">
        <f t="shared" si="46"/>
        <v>13.33333333</v>
      </c>
      <c r="M60" s="220">
        <f> 4537.23 
</f>
        <v>4537.23</v>
      </c>
      <c r="N60" s="52">
        <f>J60*599</f>
        <v>3594</v>
      </c>
      <c r="O60" s="53">
        <f t="shared" si="47"/>
        <v>4.487980552</v>
      </c>
      <c r="P60" s="54">
        <f>B60/B69*100</f>
        <v>0.6474251929</v>
      </c>
    </row>
    <row r="61">
      <c r="A61" s="211" t="s">
        <v>55</v>
      </c>
      <c r="B61" s="222">
        <v>0.0</v>
      </c>
      <c r="C61" s="221">
        <f t="shared" si="41"/>
        <v>0</v>
      </c>
      <c r="D61" s="214">
        <f t="shared" si="42"/>
        <v>0</v>
      </c>
      <c r="E61" s="215" t="str">
        <f t="shared" si="43"/>
        <v>#DIV/0!</v>
      </c>
      <c r="F61" s="216" t="str">
        <f t="shared" si="44"/>
        <v>#DIV/0!</v>
      </c>
      <c r="G61" s="223">
        <v>0.0</v>
      </c>
      <c r="H61" s="218">
        <f>(270+220)*I61</f>
        <v>0</v>
      </c>
      <c r="I61" s="224">
        <v>0.0</v>
      </c>
      <c r="J61" s="218">
        <f t="shared" si="45"/>
        <v>0</v>
      </c>
      <c r="K61" s="225">
        <v>0.0</v>
      </c>
      <c r="L61" s="50" t="str">
        <f t="shared" si="46"/>
        <v>#DIV/0!</v>
      </c>
      <c r="M61" s="65">
        <v>0.0</v>
      </c>
      <c r="N61" s="56"/>
      <c r="O61" s="53" t="str">
        <f t="shared" si="47"/>
        <v>#DIV/0!</v>
      </c>
      <c r="P61" s="54">
        <f>B61/B69*100</f>
        <v>0</v>
      </c>
    </row>
    <row r="62">
      <c r="A62" s="211" t="s">
        <v>56</v>
      </c>
      <c r="B62" s="212">
        <f>4198</f>
        <v>4198</v>
      </c>
      <c r="C62" s="221">
        <f t="shared" si="41"/>
        <v>1892.76</v>
      </c>
      <c r="D62" s="214">
        <f t="shared" si="42"/>
        <v>2305.24</v>
      </c>
      <c r="E62" s="215">
        <f t="shared" si="43"/>
        <v>54.91281563</v>
      </c>
      <c r="F62" s="216">
        <f t="shared" si="44"/>
        <v>1152.62</v>
      </c>
      <c r="G62" s="217">
        <v>2.0</v>
      </c>
      <c r="H62" s="218">
        <f>(270+350)*I62</f>
        <v>1240</v>
      </c>
      <c r="I62" s="219">
        <v>2.0</v>
      </c>
      <c r="J62" s="218">
        <f t="shared" si="45"/>
        <v>0</v>
      </c>
      <c r="K62" s="66">
        <f>652.76 </f>
        <v>652.76</v>
      </c>
      <c r="L62" s="50">
        <f t="shared" si="46"/>
        <v>0</v>
      </c>
      <c r="M62" s="65">
        <v>0.0</v>
      </c>
      <c r="N62" s="52">
        <f>J62*2199</f>
        <v>0</v>
      </c>
      <c r="O62" s="53" t="str">
        <f t="shared" si="47"/>
        <v>#DIV/0!</v>
      </c>
      <c r="P62" s="54">
        <f>B62/B69*100</f>
        <v>0.1334720306</v>
      </c>
    </row>
    <row r="63">
      <c r="A63" s="211" t="s">
        <v>57</v>
      </c>
      <c r="B63" s="212">
        <f>2199</f>
        <v>2199</v>
      </c>
      <c r="C63" s="221">
        <f t="shared" si="41"/>
        <v>1267.76</v>
      </c>
      <c r="D63" s="214">
        <f t="shared" si="42"/>
        <v>931.24</v>
      </c>
      <c r="E63" s="215">
        <f t="shared" si="43"/>
        <v>42.34834015</v>
      </c>
      <c r="F63" s="216">
        <f t="shared" si="44"/>
        <v>931.24</v>
      </c>
      <c r="G63" s="217">
        <v>2.0</v>
      </c>
      <c r="H63" s="218">
        <f>(270+320)*I63</f>
        <v>590</v>
      </c>
      <c r="I63" s="219">
        <v>1.0</v>
      </c>
      <c r="J63" s="218">
        <f t="shared" si="45"/>
        <v>1</v>
      </c>
      <c r="K63" s="66">
        <f>677.76</f>
        <v>677.76</v>
      </c>
      <c r="L63" s="50">
        <f t="shared" si="46"/>
        <v>50</v>
      </c>
      <c r="M63" s="65">
        <v>0.0</v>
      </c>
      <c r="N63" s="52">
        <f>J63*999</f>
        <v>999</v>
      </c>
      <c r="O63" s="53" t="str">
        <f t="shared" si="47"/>
        <v>#DIV/0!</v>
      </c>
      <c r="P63" s="54">
        <f>B63/B69*100</f>
        <v>0.06991543482</v>
      </c>
    </row>
    <row r="64">
      <c r="A64" s="211" t="s">
        <v>58</v>
      </c>
      <c r="B64" s="212">
        <f>33178</f>
        <v>33178</v>
      </c>
      <c r="C64" s="221">
        <f t="shared" si="41"/>
        <v>20431.42</v>
      </c>
      <c r="D64" s="214">
        <f t="shared" si="42"/>
        <v>12746.58</v>
      </c>
      <c r="E64" s="215">
        <f t="shared" si="43"/>
        <v>38.41877148</v>
      </c>
      <c r="F64" s="216">
        <f t="shared" si="44"/>
        <v>554.1991304</v>
      </c>
      <c r="G64" s="217">
        <v>25.0</v>
      </c>
      <c r="H64" s="218">
        <f>(350+220)*I64</f>
        <v>13110</v>
      </c>
      <c r="I64" s="219">
        <v>23.0</v>
      </c>
      <c r="J64" s="218">
        <f t="shared" si="45"/>
        <v>2</v>
      </c>
      <c r="K64" s="66">
        <f>5933.36 </f>
        <v>5933.36</v>
      </c>
      <c r="L64" s="50">
        <f t="shared" si="46"/>
        <v>8</v>
      </c>
      <c r="M64" s="226">
        <f> 1388.06 
</f>
        <v>1388.06</v>
      </c>
      <c r="N64" s="52">
        <f>J64*1499</f>
        <v>2998</v>
      </c>
      <c r="O64" s="53">
        <f t="shared" si="47"/>
        <v>23.90242497</v>
      </c>
      <c r="P64" s="54">
        <f>B64/B69*100</f>
        <v>1.054867802</v>
      </c>
    </row>
    <row r="65">
      <c r="A65" s="211" t="s">
        <v>59</v>
      </c>
      <c r="B65" s="222">
        <v>0.0</v>
      </c>
      <c r="C65" s="213">
        <f t="shared" si="41"/>
        <v>0</v>
      </c>
      <c r="D65" s="214">
        <f t="shared" si="42"/>
        <v>0</v>
      </c>
      <c r="E65" s="215" t="str">
        <f t="shared" si="43"/>
        <v>#DIV/0!</v>
      </c>
      <c r="F65" s="216" t="str">
        <f t="shared" si="44"/>
        <v>#DIV/0!</v>
      </c>
      <c r="G65" s="223">
        <v>0.0</v>
      </c>
      <c r="H65" s="218">
        <f>(350+320)*I65</f>
        <v>0</v>
      </c>
      <c r="I65" s="224">
        <v>0.0</v>
      </c>
      <c r="J65" s="218">
        <f t="shared" si="45"/>
        <v>0</v>
      </c>
      <c r="K65" s="225">
        <v>0.0</v>
      </c>
      <c r="L65" s="50" t="str">
        <f t="shared" si="46"/>
        <v>#DIV/0!</v>
      </c>
      <c r="M65" s="220">
        <v>0.0</v>
      </c>
      <c r="N65" s="52">
        <f t="shared" ref="N65:N68" si="48">J65*999</f>
        <v>0</v>
      </c>
      <c r="O65" s="53" t="str">
        <f t="shared" si="47"/>
        <v>#DIV/0!</v>
      </c>
      <c r="P65" s="54">
        <f>B65/B69*100</f>
        <v>0</v>
      </c>
    </row>
    <row r="66">
      <c r="A66" s="211" t="s">
        <v>149</v>
      </c>
      <c r="B66" s="212">
        <f>191147+108489</f>
        <v>299636</v>
      </c>
      <c r="C66" s="213">
        <f t="shared" si="41"/>
        <v>210033.63</v>
      </c>
      <c r="D66" s="214">
        <f t="shared" si="42"/>
        <v>89602.37</v>
      </c>
      <c r="E66" s="215">
        <f t="shared" si="43"/>
        <v>29.90373987</v>
      </c>
      <c r="F66" s="216">
        <f t="shared" si="44"/>
        <v>282.6573186</v>
      </c>
      <c r="G66" s="217">
        <f>219+115</f>
        <v>334</v>
      </c>
      <c r="H66" s="218">
        <f t="shared" ref="H66:H68" si="49">(330)*I66</f>
        <v>104610</v>
      </c>
      <c r="I66" s="219">
        <f>206+111</f>
        <v>317</v>
      </c>
      <c r="J66" s="218">
        <f t="shared" si="45"/>
        <v>17</v>
      </c>
      <c r="K66" s="66">
        <f>(47289.89+43637.21 )-(14756.16+24603.99-167.33 )</f>
        <v>51734.28</v>
      </c>
      <c r="L66" s="50">
        <f t="shared" si="46"/>
        <v>5.089820359</v>
      </c>
      <c r="M66" s="220">
        <f> 35490.99+ 18198.36 
</f>
        <v>53689.35</v>
      </c>
      <c r="N66" s="52">
        <f t="shared" si="48"/>
        <v>16983</v>
      </c>
      <c r="O66" s="53">
        <f t="shared" si="47"/>
        <v>5.580920611</v>
      </c>
      <c r="P66" s="54">
        <f>B66/B69*100</f>
        <v>9.526685415</v>
      </c>
    </row>
    <row r="67">
      <c r="A67" s="211" t="s">
        <v>157</v>
      </c>
      <c r="B67" s="212">
        <f>14183</f>
        <v>14183</v>
      </c>
      <c r="C67" s="213">
        <f t="shared" si="41"/>
        <v>20159.68</v>
      </c>
      <c r="D67" s="214">
        <f t="shared" si="42"/>
        <v>-5976.68</v>
      </c>
      <c r="E67" s="215">
        <f t="shared" si="43"/>
        <v>-42.13974476</v>
      </c>
      <c r="F67" s="216">
        <f t="shared" si="44"/>
        <v>-351.5694118</v>
      </c>
      <c r="G67" s="217">
        <f>19</f>
        <v>19</v>
      </c>
      <c r="H67" s="218">
        <f t="shared" si="49"/>
        <v>5610</v>
      </c>
      <c r="I67" s="219">
        <f>17</f>
        <v>17</v>
      </c>
      <c r="J67" s="218">
        <f t="shared" si="45"/>
        <v>2</v>
      </c>
      <c r="K67" s="66">
        <f>21599.48-19011.44</f>
        <v>2588.04</v>
      </c>
      <c r="L67" s="50">
        <f t="shared" si="46"/>
        <v>10.52631579</v>
      </c>
      <c r="M67" s="220">
        <f>11961.64</f>
        <v>11961.64</v>
      </c>
      <c r="N67" s="52">
        <f t="shared" si="48"/>
        <v>1998</v>
      </c>
      <c r="O67" s="53">
        <f t="shared" si="47"/>
        <v>1.185706977</v>
      </c>
      <c r="P67" s="54"/>
    </row>
    <row r="68" ht="14.25" customHeight="1">
      <c r="A68" s="211" t="s">
        <v>131</v>
      </c>
      <c r="B68" s="212">
        <f>48074+2499</f>
        <v>50573</v>
      </c>
      <c r="C68" s="213">
        <f t="shared" si="41"/>
        <v>66855.77</v>
      </c>
      <c r="D68" s="214">
        <f t="shared" si="42"/>
        <v>-16282.77</v>
      </c>
      <c r="E68" s="215">
        <f t="shared" si="43"/>
        <v>-32.19656734</v>
      </c>
      <c r="F68" s="216">
        <f t="shared" si="44"/>
        <v>-525.2506452</v>
      </c>
      <c r="G68" s="217">
        <f>37+1</f>
        <v>38</v>
      </c>
      <c r="H68" s="218">
        <f t="shared" si="49"/>
        <v>10230</v>
      </c>
      <c r="I68" s="219">
        <f>30+1</f>
        <v>31</v>
      </c>
      <c r="J68" s="218">
        <f t="shared" si="45"/>
        <v>7</v>
      </c>
      <c r="K68" s="66">
        <f>(15684.13+2583.13)-(6640.04-1430.4) </f>
        <v>13057.62</v>
      </c>
      <c r="L68" s="50">
        <f t="shared" si="46"/>
        <v>18.42105263</v>
      </c>
      <c r="M68" s="220">
        <f> 43568.15 
</f>
        <v>43568.15</v>
      </c>
      <c r="N68" s="52">
        <f t="shared" si="48"/>
        <v>6993</v>
      </c>
      <c r="O68" s="3"/>
    </row>
    <row r="69">
      <c r="A69" s="3" t="s">
        <v>38</v>
      </c>
      <c r="B69" s="41">
        <f t="shared" ref="B69:D69" si="50">SUM(B51:B67)</f>
        <v>3145228.24</v>
      </c>
      <c r="C69" s="68">
        <f t="shared" si="50"/>
        <v>2023225.02</v>
      </c>
      <c r="D69" s="53">
        <f t="shared" si="50"/>
        <v>1122003.22</v>
      </c>
      <c r="E69" s="41"/>
      <c r="F69" s="41"/>
      <c r="G69" s="41">
        <f t="shared" ref="G69:K69" si="51">SUM(G51:G67)</f>
        <v>3657</v>
      </c>
      <c r="H69" s="41">
        <f t="shared" si="51"/>
        <v>929768</v>
      </c>
      <c r="I69" s="41">
        <f t="shared" si="51"/>
        <v>3352</v>
      </c>
      <c r="J69" s="41">
        <f t="shared" si="51"/>
        <v>305</v>
      </c>
      <c r="K69" s="41">
        <f t="shared" si="51"/>
        <v>581334.57</v>
      </c>
      <c r="L69" s="41"/>
      <c r="M69" s="68">
        <f>SUM(M51:M68)</f>
        <v>555690.6</v>
      </c>
      <c r="N69" s="3"/>
      <c r="O69" s="3"/>
    </row>
    <row r="72">
      <c r="A72" s="115" t="s">
        <v>40</v>
      </c>
      <c r="B72" s="116">
        <f>B69</f>
        <v>3145228.24</v>
      </c>
      <c r="C72" s="3"/>
      <c r="D72" s="3"/>
      <c r="E72" s="3"/>
      <c r="F72" s="3"/>
      <c r="G72" s="168"/>
      <c r="H72" s="113"/>
      <c r="I72" s="113"/>
    </row>
    <row r="73">
      <c r="A73" s="117" t="s">
        <v>41</v>
      </c>
      <c r="B73" s="118">
        <f>H69</f>
        <v>929768</v>
      </c>
      <c r="C73" s="3"/>
      <c r="D73" s="30" t="s">
        <v>39</v>
      </c>
      <c r="E73" s="3"/>
      <c r="F73" s="3"/>
      <c r="G73" s="168"/>
      <c r="H73" s="113"/>
      <c r="I73" s="113"/>
    </row>
    <row r="74">
      <c r="A74" s="119" t="s">
        <v>143</v>
      </c>
      <c r="B74" s="120">
        <v>348800.0</v>
      </c>
      <c r="C74" s="3"/>
      <c r="D74" s="33" t="s">
        <v>41</v>
      </c>
      <c r="E74" s="34">
        <f>B73/I69</f>
        <v>277.3770883</v>
      </c>
      <c r="F74" s="59"/>
      <c r="G74" s="168"/>
    </row>
    <row r="75">
      <c r="A75" s="119" t="s">
        <v>61</v>
      </c>
      <c r="B75" s="120">
        <v>232533.0</v>
      </c>
      <c r="C75" s="3"/>
      <c r="D75" s="33"/>
      <c r="E75" s="34"/>
      <c r="F75" s="59"/>
      <c r="G75" s="168"/>
    </row>
    <row r="76">
      <c r="A76" s="121" t="s">
        <v>44</v>
      </c>
      <c r="B76" s="122">
        <f>M69</f>
        <v>555690.6</v>
      </c>
      <c r="C76" s="3"/>
      <c r="D76" s="33" t="s">
        <v>42</v>
      </c>
      <c r="E76" s="34">
        <f>B76/I69</f>
        <v>165.7788186</v>
      </c>
      <c r="F76" s="59"/>
    </row>
    <row r="77">
      <c r="A77" s="123" t="s">
        <v>62</v>
      </c>
      <c r="B77" s="124">
        <f>B72-SUM(B73:B76)</f>
        <v>1078436.64</v>
      </c>
      <c r="C77" s="3"/>
      <c r="D77" s="33" t="s">
        <v>63</v>
      </c>
      <c r="E77" s="34">
        <f>B74/I69</f>
        <v>104.0572792</v>
      </c>
      <c r="F77" s="61"/>
    </row>
    <row r="78">
      <c r="A78" s="125" t="s">
        <v>47</v>
      </c>
      <c r="B78" s="126">
        <f>B77/B72*100</f>
        <v>34.28802483</v>
      </c>
      <c r="C78" s="3"/>
      <c r="D78" s="33" t="s">
        <v>45</v>
      </c>
      <c r="E78" s="34">
        <f>B72/I69</f>
        <v>938.3139141</v>
      </c>
      <c r="F78" s="3"/>
    </row>
    <row r="85">
      <c r="A85" s="1" t="s">
        <v>156</v>
      </c>
      <c r="B85" s="2" t="s">
        <v>64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>
      <c r="A87" s="38" t="s">
        <v>49</v>
      </c>
      <c r="B87" s="24" t="s">
        <v>3</v>
      </c>
      <c r="C87" s="24" t="s">
        <v>4</v>
      </c>
      <c r="D87" s="24" t="s">
        <v>5</v>
      </c>
      <c r="E87" s="39" t="s">
        <v>6</v>
      </c>
      <c r="F87" s="24" t="s">
        <v>7</v>
      </c>
      <c r="G87" s="24" t="s">
        <v>9</v>
      </c>
      <c r="H87" s="24" t="s">
        <v>11</v>
      </c>
      <c r="I87" s="24" t="s">
        <v>12</v>
      </c>
      <c r="J87" s="24" t="s">
        <v>50</v>
      </c>
      <c r="K87" s="24" t="s">
        <v>65</v>
      </c>
      <c r="L87" s="39" t="s">
        <v>16</v>
      </c>
      <c r="M87" s="24" t="s">
        <v>52</v>
      </c>
    </row>
    <row r="88">
      <c r="A88" s="42" t="s">
        <v>21</v>
      </c>
      <c r="B88" s="43">
        <f>18174</f>
        <v>18174</v>
      </c>
      <c r="C88" s="44">
        <f t="shared" ref="C88:C96" si="52">K88+H88</f>
        <v>9392.35</v>
      </c>
      <c r="D88" s="45">
        <f t="shared" ref="D88:D101" si="53">B88-C88</f>
        <v>8781.65</v>
      </c>
      <c r="E88" s="11">
        <f t="shared" ref="E88:E101" si="54">D88/B88*100</f>
        <v>48.31985254</v>
      </c>
      <c r="F88" s="46">
        <f t="shared" ref="F88:F101" si="55">D88/I88</f>
        <v>351.266</v>
      </c>
      <c r="G88" s="47">
        <v>38.0</v>
      </c>
      <c r="H88" s="14">
        <f>220*I88</f>
        <v>5500</v>
      </c>
      <c r="I88" s="48">
        <v>25.0</v>
      </c>
      <c r="J88" s="14">
        <f t="shared" ref="J88:J101" si="56">G88-I88</f>
        <v>13</v>
      </c>
      <c r="K88" s="49">
        <f>3892.35</f>
        <v>3892.35</v>
      </c>
      <c r="L88" s="50">
        <f t="shared" ref="L88:L101" si="57">J88/G88*100</f>
        <v>34.21052632</v>
      </c>
      <c r="M88" s="51"/>
      <c r="P88" s="54"/>
    </row>
    <row r="89">
      <c r="A89" s="42" t="s">
        <v>23</v>
      </c>
      <c r="B89" s="43">
        <f>38557</f>
        <v>38557</v>
      </c>
      <c r="C89" s="44">
        <f t="shared" si="52"/>
        <v>17485.97</v>
      </c>
      <c r="D89" s="45">
        <f t="shared" si="53"/>
        <v>21071.03</v>
      </c>
      <c r="E89" s="11">
        <f t="shared" si="54"/>
        <v>54.64903908</v>
      </c>
      <c r="F89" s="46">
        <f t="shared" si="55"/>
        <v>468.2451111</v>
      </c>
      <c r="G89" s="47">
        <v>66.0</v>
      </c>
      <c r="H89" s="14">
        <f>304*I89</f>
        <v>13680</v>
      </c>
      <c r="I89" s="48">
        <v>45.0</v>
      </c>
      <c r="J89" s="14">
        <f t="shared" si="56"/>
        <v>21</v>
      </c>
      <c r="K89" s="49">
        <f>3805.97</f>
        <v>3805.97</v>
      </c>
      <c r="L89" s="50">
        <f t="shared" si="57"/>
        <v>31.81818182</v>
      </c>
      <c r="M89" s="51"/>
      <c r="P89" s="54"/>
    </row>
    <row r="90">
      <c r="A90" s="42" t="s">
        <v>25</v>
      </c>
      <c r="B90" s="43">
        <f>1528</f>
        <v>1528</v>
      </c>
      <c r="C90" s="44">
        <f t="shared" si="52"/>
        <v>1251.35</v>
      </c>
      <c r="D90" s="45">
        <f t="shared" si="53"/>
        <v>276.65</v>
      </c>
      <c r="E90" s="11">
        <f t="shared" si="54"/>
        <v>18.10536649</v>
      </c>
      <c r="F90" s="46">
        <f t="shared" si="55"/>
        <v>276.65</v>
      </c>
      <c r="G90" s="47">
        <v>3.0</v>
      </c>
      <c r="H90" s="14">
        <f> 662*I90</f>
        <v>662</v>
      </c>
      <c r="I90" s="48">
        <v>1.0</v>
      </c>
      <c r="J90" s="14">
        <f t="shared" si="56"/>
        <v>2</v>
      </c>
      <c r="K90" s="49">
        <f>589.35</f>
        <v>589.35</v>
      </c>
      <c r="L90" s="50">
        <f t="shared" si="57"/>
        <v>66.66666667</v>
      </c>
      <c r="M90" s="51"/>
      <c r="P90" s="54"/>
    </row>
    <row r="91">
      <c r="A91" s="42" t="s">
        <v>26</v>
      </c>
      <c r="B91" s="43">
        <f>45570</f>
        <v>45570</v>
      </c>
      <c r="C91" s="44">
        <f t="shared" si="52"/>
        <v>32926.44</v>
      </c>
      <c r="D91" s="45">
        <f t="shared" si="53"/>
        <v>12643.56</v>
      </c>
      <c r="E91" s="11">
        <f t="shared" si="54"/>
        <v>27.74535879</v>
      </c>
      <c r="F91" s="46">
        <f t="shared" si="55"/>
        <v>97.25815385</v>
      </c>
      <c r="G91" s="47">
        <v>181.0</v>
      </c>
      <c r="H91" s="14">
        <f>184*I91</f>
        <v>23920</v>
      </c>
      <c r="I91" s="48">
        <v>130.0</v>
      </c>
      <c r="J91" s="14">
        <f t="shared" si="56"/>
        <v>51</v>
      </c>
      <c r="K91" s="49">
        <f>9006.44</f>
        <v>9006.44</v>
      </c>
      <c r="L91" s="50">
        <f t="shared" si="57"/>
        <v>28.17679558</v>
      </c>
      <c r="M91" s="51"/>
      <c r="P91" s="54"/>
    </row>
    <row r="92">
      <c r="A92" s="42" t="s">
        <v>54</v>
      </c>
      <c r="B92" s="43">
        <f>2160</f>
        <v>2160</v>
      </c>
      <c r="C92" s="44">
        <f t="shared" si="52"/>
        <v>1577.55</v>
      </c>
      <c r="D92" s="45">
        <f t="shared" si="53"/>
        <v>582.45</v>
      </c>
      <c r="E92" s="11">
        <f t="shared" si="54"/>
        <v>26.96527778</v>
      </c>
      <c r="F92" s="46">
        <f t="shared" si="55"/>
        <v>116.49</v>
      </c>
      <c r="G92" s="47">
        <v>5.0</v>
      </c>
      <c r="H92" s="14">
        <f>270*I92</f>
        <v>1350</v>
      </c>
      <c r="I92" s="48">
        <v>5.0</v>
      </c>
      <c r="J92" s="14">
        <f t="shared" si="56"/>
        <v>0</v>
      </c>
      <c r="K92" s="49">
        <f>227.55</f>
        <v>227.55</v>
      </c>
      <c r="L92" s="50">
        <f t="shared" si="57"/>
        <v>0</v>
      </c>
      <c r="M92" s="51"/>
      <c r="P92" s="54"/>
    </row>
    <row r="93">
      <c r="A93" s="42" t="s">
        <v>29</v>
      </c>
      <c r="B93" s="43">
        <f>6636</f>
        <v>6636</v>
      </c>
      <c r="C93" s="44">
        <f t="shared" si="52"/>
        <v>4421.1</v>
      </c>
      <c r="D93" s="45">
        <f t="shared" si="53"/>
        <v>2214.9</v>
      </c>
      <c r="E93" s="11">
        <f t="shared" si="54"/>
        <v>33.37703436</v>
      </c>
      <c r="F93" s="46">
        <f t="shared" si="55"/>
        <v>316.4142857</v>
      </c>
      <c r="G93" s="47">
        <v>17.0</v>
      </c>
      <c r="H93" s="14">
        <f>320*I93</f>
        <v>2240</v>
      </c>
      <c r="I93" s="48">
        <v>7.0</v>
      </c>
      <c r="J93" s="14">
        <f t="shared" si="56"/>
        <v>10</v>
      </c>
      <c r="K93" s="49">
        <f>2181.1</f>
        <v>2181.1</v>
      </c>
      <c r="L93" s="50">
        <f t="shared" si="57"/>
        <v>58.82352941</v>
      </c>
      <c r="M93" s="51"/>
      <c r="P93" s="54"/>
    </row>
    <row r="94">
      <c r="A94" s="42" t="s">
        <v>31</v>
      </c>
      <c r="B94" s="43">
        <f>985</f>
        <v>985</v>
      </c>
      <c r="C94" s="44">
        <f t="shared" si="52"/>
        <v>1438.8</v>
      </c>
      <c r="D94" s="45">
        <f t="shared" si="53"/>
        <v>-453.8</v>
      </c>
      <c r="E94" s="11">
        <f t="shared" si="54"/>
        <v>-46.07106599</v>
      </c>
      <c r="F94" s="46">
        <f t="shared" si="55"/>
        <v>-151.2666667</v>
      </c>
      <c r="G94" s="47">
        <v>4.0</v>
      </c>
      <c r="H94" s="14">
        <f>470*I94</f>
        <v>1410</v>
      </c>
      <c r="I94" s="48">
        <v>3.0</v>
      </c>
      <c r="J94" s="14">
        <f t="shared" si="56"/>
        <v>1</v>
      </c>
      <c r="K94" s="49">
        <f>28.8</f>
        <v>28.8</v>
      </c>
      <c r="L94" s="50">
        <f t="shared" si="57"/>
        <v>25</v>
      </c>
      <c r="M94" s="51"/>
      <c r="P94" s="54"/>
    </row>
    <row r="95">
      <c r="A95" s="42" t="s">
        <v>66</v>
      </c>
      <c r="B95" s="43">
        <f>1488</f>
        <v>1488</v>
      </c>
      <c r="C95" s="44">
        <f t="shared" si="52"/>
        <v>1763.41</v>
      </c>
      <c r="D95" s="45">
        <f t="shared" si="53"/>
        <v>-275.41</v>
      </c>
      <c r="E95" s="11">
        <f t="shared" si="54"/>
        <v>-18.50873656</v>
      </c>
      <c r="F95" s="46">
        <f t="shared" si="55"/>
        <v>-39.34428571</v>
      </c>
      <c r="G95" s="47">
        <v>17.0</v>
      </c>
      <c r="H95" s="14">
        <f>200*I95</f>
        <v>1400</v>
      </c>
      <c r="I95" s="48">
        <v>7.0</v>
      </c>
      <c r="J95" s="14">
        <f t="shared" si="56"/>
        <v>10</v>
      </c>
      <c r="K95" s="49">
        <f>363.41</f>
        <v>363.41</v>
      </c>
      <c r="L95" s="50">
        <f t="shared" si="57"/>
        <v>58.82352941</v>
      </c>
      <c r="M95" s="51"/>
      <c r="P95" s="54"/>
    </row>
    <row r="96">
      <c r="A96" s="42" t="s">
        <v>33</v>
      </c>
      <c r="B96" s="43">
        <f>12504</f>
        <v>12504</v>
      </c>
      <c r="C96" s="44">
        <f t="shared" si="52"/>
        <v>9772.82</v>
      </c>
      <c r="D96" s="45">
        <f t="shared" si="53"/>
        <v>2731.18</v>
      </c>
      <c r="E96" s="11">
        <f t="shared" si="54"/>
        <v>21.84245042</v>
      </c>
      <c r="F96" s="46">
        <f t="shared" si="55"/>
        <v>341.3975</v>
      </c>
      <c r="G96" s="47">
        <v>20.0</v>
      </c>
      <c r="H96" s="14">
        <f>1000*I96</f>
        <v>8000</v>
      </c>
      <c r="I96" s="48">
        <v>8.0</v>
      </c>
      <c r="J96" s="14">
        <f t="shared" si="56"/>
        <v>12</v>
      </c>
      <c r="K96" s="49">
        <f>1772.82</f>
        <v>1772.82</v>
      </c>
      <c r="L96" s="50">
        <f t="shared" si="57"/>
        <v>60</v>
      </c>
      <c r="M96" s="51"/>
      <c r="P96" s="54"/>
      <c r="X96" s="3"/>
    </row>
    <row r="97">
      <c r="A97" s="211" t="s">
        <v>131</v>
      </c>
      <c r="B97" s="212">
        <f>3304</f>
        <v>3304</v>
      </c>
      <c r="C97" s="213">
        <f>K97+H97+M97</f>
        <v>1272.86</v>
      </c>
      <c r="D97" s="214">
        <f t="shared" si="53"/>
        <v>2031.14</v>
      </c>
      <c r="E97" s="215">
        <f t="shared" si="54"/>
        <v>61.4751816</v>
      </c>
      <c r="F97" s="216">
        <f t="shared" si="55"/>
        <v>1015.57</v>
      </c>
      <c r="G97" s="217">
        <v>3.0</v>
      </c>
      <c r="H97" s="218">
        <f>(330)*I97</f>
        <v>660</v>
      </c>
      <c r="I97" s="219">
        <v>2.0</v>
      </c>
      <c r="J97" s="218">
        <f t="shared" si="56"/>
        <v>1</v>
      </c>
      <c r="K97" s="66">
        <f>612.86</f>
        <v>612.86</v>
      </c>
      <c r="L97" s="50">
        <f t="shared" si="57"/>
        <v>33.33333333</v>
      </c>
      <c r="M97" s="220"/>
      <c r="N97" s="52">
        <f>J97*999</f>
        <v>999</v>
      </c>
      <c r="O97" s="3"/>
    </row>
    <row r="98">
      <c r="A98" s="42" t="s">
        <v>158</v>
      </c>
      <c r="B98" s="43">
        <f>3867</f>
        <v>3867</v>
      </c>
      <c r="C98" s="44">
        <f t="shared" ref="C98:C101" si="58">K98+H98</f>
        <v>2194.48</v>
      </c>
      <c r="D98" s="45">
        <f t="shared" si="53"/>
        <v>1672.52</v>
      </c>
      <c r="E98" s="11">
        <f t="shared" si="54"/>
        <v>43.25109904</v>
      </c>
      <c r="F98" s="46">
        <f t="shared" si="55"/>
        <v>557.5066667</v>
      </c>
      <c r="G98" s="47">
        <v>4.0</v>
      </c>
      <c r="H98" s="14">
        <f t="shared" ref="H98:H99" si="59">(220+350)*I98</f>
        <v>1710</v>
      </c>
      <c r="I98" s="48">
        <v>3.0</v>
      </c>
      <c r="J98" s="14">
        <f t="shared" si="56"/>
        <v>1</v>
      </c>
      <c r="K98" s="49">
        <f>484.48</f>
        <v>484.48</v>
      </c>
      <c r="L98" s="50">
        <f t="shared" si="57"/>
        <v>25</v>
      </c>
      <c r="M98" s="51"/>
      <c r="P98" s="54"/>
      <c r="X98" s="3"/>
    </row>
    <row r="99">
      <c r="A99" s="42" t="s">
        <v>55</v>
      </c>
      <c r="B99" s="43">
        <f>2258</f>
        <v>2258</v>
      </c>
      <c r="C99" s="44">
        <f t="shared" si="58"/>
        <v>1427.3</v>
      </c>
      <c r="D99" s="45">
        <f t="shared" si="53"/>
        <v>830.7</v>
      </c>
      <c r="E99" s="11">
        <f t="shared" si="54"/>
        <v>36.78919398</v>
      </c>
      <c r="F99" s="46">
        <f t="shared" si="55"/>
        <v>415.35</v>
      </c>
      <c r="G99" s="47">
        <v>3.0</v>
      </c>
      <c r="H99" s="14">
        <f t="shared" si="59"/>
        <v>1140</v>
      </c>
      <c r="I99" s="48">
        <v>2.0</v>
      </c>
      <c r="J99" s="14">
        <f t="shared" si="56"/>
        <v>1</v>
      </c>
      <c r="K99" s="49">
        <f>287.3</f>
        <v>287.3</v>
      </c>
      <c r="L99" s="50">
        <f t="shared" si="57"/>
        <v>33.33333333</v>
      </c>
      <c r="M99" s="51"/>
      <c r="P99" s="54"/>
      <c r="X99" s="3"/>
    </row>
    <row r="100">
      <c r="A100" s="42" t="s">
        <v>68</v>
      </c>
      <c r="B100" s="43">
        <f>6908</f>
        <v>6908</v>
      </c>
      <c r="C100" s="44">
        <f t="shared" si="58"/>
        <v>4156.28</v>
      </c>
      <c r="D100" s="45">
        <f t="shared" si="53"/>
        <v>2751.72</v>
      </c>
      <c r="E100" s="11">
        <f t="shared" si="54"/>
        <v>39.83381587</v>
      </c>
      <c r="F100" s="46">
        <f t="shared" si="55"/>
        <v>687.93</v>
      </c>
      <c r="G100" s="47">
        <v>8.0</v>
      </c>
      <c r="H100" s="14">
        <f>(320+350)*I100</f>
        <v>2680</v>
      </c>
      <c r="I100" s="48">
        <v>4.0</v>
      </c>
      <c r="J100" s="14">
        <f t="shared" si="56"/>
        <v>4</v>
      </c>
      <c r="K100" s="49">
        <f>1476.28</f>
        <v>1476.28</v>
      </c>
      <c r="L100" s="50">
        <f t="shared" si="57"/>
        <v>50</v>
      </c>
      <c r="M100" s="51"/>
      <c r="P100" s="54"/>
      <c r="U100" s="3"/>
      <c r="V100" s="3"/>
      <c r="W100" s="3"/>
      <c r="X100" s="3"/>
    </row>
    <row r="101">
      <c r="A101" s="42" t="s">
        <v>56</v>
      </c>
      <c r="B101" s="43">
        <f>8175</f>
        <v>8175</v>
      </c>
      <c r="C101" s="44">
        <f t="shared" si="58"/>
        <v>4100.5</v>
      </c>
      <c r="D101" s="45">
        <f t="shared" si="53"/>
        <v>4074.5</v>
      </c>
      <c r="E101" s="11">
        <f t="shared" si="54"/>
        <v>49.84097859</v>
      </c>
      <c r="F101" s="46">
        <f t="shared" si="55"/>
        <v>814.9</v>
      </c>
      <c r="G101" s="47">
        <v>9.0</v>
      </c>
      <c r="H101" s="14">
        <f>(270+350)*I101</f>
        <v>3100</v>
      </c>
      <c r="I101" s="48">
        <v>5.0</v>
      </c>
      <c r="J101" s="14">
        <f t="shared" si="56"/>
        <v>4</v>
      </c>
      <c r="K101" s="49">
        <f>1000.5</f>
        <v>1000.5</v>
      </c>
      <c r="L101" s="50">
        <f t="shared" si="57"/>
        <v>44.44444444</v>
      </c>
      <c r="M101" s="51"/>
      <c r="P101" s="54"/>
      <c r="U101" s="3"/>
      <c r="V101" s="3"/>
      <c r="W101" s="3"/>
      <c r="X101" s="3"/>
    </row>
    <row r="102">
      <c r="A102" s="3"/>
      <c r="B102" s="41">
        <f t="shared" ref="B102:D102" si="60">SUM(B88:B101)</f>
        <v>152114</v>
      </c>
      <c r="C102" s="41">
        <f t="shared" si="60"/>
        <v>93181.21</v>
      </c>
      <c r="D102" s="53">
        <f t="shared" si="60"/>
        <v>58932.79</v>
      </c>
      <c r="E102" s="3"/>
      <c r="F102" s="3"/>
      <c r="G102" s="41">
        <f t="shared" ref="G102:K102" si="61">SUM(G88:G101)</f>
        <v>378</v>
      </c>
      <c r="H102" s="41">
        <f t="shared" si="61"/>
        <v>67452</v>
      </c>
      <c r="I102" s="41">
        <f t="shared" si="61"/>
        <v>247</v>
      </c>
      <c r="J102" s="41">
        <f t="shared" si="61"/>
        <v>131</v>
      </c>
      <c r="K102" s="41">
        <f t="shared" si="61"/>
        <v>25729.21</v>
      </c>
      <c r="L102" s="3"/>
      <c r="M102" s="188">
        <v>0.0</v>
      </c>
      <c r="P102" s="54"/>
      <c r="U102" s="3"/>
      <c r="V102" s="3"/>
      <c r="W102" s="3"/>
      <c r="X102" s="3"/>
    </row>
    <row r="103">
      <c r="P103" s="54"/>
      <c r="U103" s="3"/>
      <c r="V103" s="3"/>
      <c r="W103" s="3"/>
      <c r="X103" s="3"/>
    </row>
    <row r="104">
      <c r="P104" s="54"/>
      <c r="U104" s="3"/>
      <c r="V104" s="3"/>
      <c r="W104" s="3"/>
      <c r="X104" s="3"/>
    </row>
    <row r="105">
      <c r="A105" s="31" t="s">
        <v>40</v>
      </c>
      <c r="B105" s="36">
        <f>B102</f>
        <v>152114</v>
      </c>
      <c r="C105" s="3"/>
      <c r="D105" s="3"/>
      <c r="E105" s="3"/>
      <c r="U105" s="3"/>
      <c r="V105" s="3"/>
      <c r="W105" s="3"/>
    </row>
    <row r="106">
      <c r="A106" s="31" t="s">
        <v>41</v>
      </c>
      <c r="B106" s="36">
        <f>H102</f>
        <v>67452</v>
      </c>
      <c r="C106" s="3"/>
      <c r="D106" s="30"/>
      <c r="E106" s="3"/>
      <c r="U106" s="3"/>
      <c r="V106" s="3"/>
      <c r="W106" s="3"/>
    </row>
    <row r="107">
      <c r="A107" s="31" t="s">
        <v>69</v>
      </c>
      <c r="B107" s="36">
        <f>K102-B108</f>
        <v>25729.21</v>
      </c>
      <c r="C107" s="3"/>
      <c r="D107" s="33" t="s">
        <v>41</v>
      </c>
      <c r="E107" s="34">
        <f>B106/I102</f>
        <v>273.0850202</v>
      </c>
      <c r="U107" s="3"/>
      <c r="V107" s="3"/>
      <c r="W107" s="3"/>
    </row>
    <row r="108">
      <c r="A108" s="31" t="s">
        <v>44</v>
      </c>
      <c r="B108" s="36">
        <f>M102</f>
        <v>0</v>
      </c>
      <c r="C108" s="3"/>
      <c r="D108" s="33" t="s">
        <v>42</v>
      </c>
      <c r="E108" s="34">
        <f>B108/I102</f>
        <v>0</v>
      </c>
    </row>
    <row r="109">
      <c r="A109" s="31" t="s">
        <v>62</v>
      </c>
      <c r="B109" s="36">
        <f>B105-SUM(B106:B108)</f>
        <v>58932.79</v>
      </c>
      <c r="C109" s="3"/>
      <c r="D109" s="33" t="s">
        <v>63</v>
      </c>
      <c r="E109" s="34">
        <f>B107/I102</f>
        <v>104.1668421</v>
      </c>
    </row>
    <row r="110">
      <c r="A110" s="31" t="s">
        <v>47</v>
      </c>
      <c r="B110" s="62">
        <f>B109/B105*100</f>
        <v>38.74251548</v>
      </c>
      <c r="C110" s="3"/>
      <c r="D110" s="33" t="s">
        <v>45</v>
      </c>
      <c r="E110" s="34">
        <f>B105/I102</f>
        <v>615.8461538</v>
      </c>
    </row>
    <row r="115">
      <c r="A115" s="1" t="s">
        <v>156</v>
      </c>
      <c r="B115" s="2" t="s">
        <v>70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S116" s="3"/>
      <c r="T116" s="3"/>
    </row>
    <row r="117">
      <c r="A117" s="38" t="s">
        <v>49</v>
      </c>
      <c r="B117" s="24" t="s">
        <v>3</v>
      </c>
      <c r="C117" s="24" t="s">
        <v>4</v>
      </c>
      <c r="D117" s="24" t="s">
        <v>5</v>
      </c>
      <c r="E117" s="39" t="s">
        <v>6</v>
      </c>
      <c r="F117" s="24" t="s">
        <v>7</v>
      </c>
      <c r="G117" s="24" t="s">
        <v>71</v>
      </c>
      <c r="H117" s="24" t="s">
        <v>9</v>
      </c>
      <c r="I117" s="24" t="s">
        <v>72</v>
      </c>
      <c r="J117" s="24" t="s">
        <v>73</v>
      </c>
      <c r="K117" s="28" t="s">
        <v>43</v>
      </c>
      <c r="L117" s="3"/>
      <c r="M117" s="3"/>
      <c r="N117" s="3"/>
      <c r="S117" s="3"/>
      <c r="T117" s="3"/>
    </row>
    <row r="118">
      <c r="A118" s="42" t="s">
        <v>21</v>
      </c>
      <c r="B118" s="43">
        <f>689*H118</f>
        <v>188786</v>
      </c>
      <c r="C118" s="63">
        <f t="shared" ref="C118:C121" si="62">J118+G118+I118+K118</f>
        <v>69870</v>
      </c>
      <c r="D118" s="45">
        <f t="shared" ref="D118:D121" si="63">B118-C118</f>
        <v>118916</v>
      </c>
      <c r="E118" s="11">
        <f t="shared" ref="E118:E121" si="64">D118/B118*100</f>
        <v>62.98984035</v>
      </c>
      <c r="F118" s="46">
        <f t="shared" ref="F118:F121" si="65">D118/H118</f>
        <v>434</v>
      </c>
      <c r="G118" s="14">
        <f>235*H118</f>
        <v>64390</v>
      </c>
      <c r="H118" s="48">
        <v>274.0</v>
      </c>
      <c r="I118" s="14">
        <v>0.0</v>
      </c>
      <c r="J118" s="64">
        <v>0.0</v>
      </c>
      <c r="K118" s="65">
        <f t="shared" ref="K118:K121" si="66">20*H118</f>
        <v>5480</v>
      </c>
      <c r="L118" s="53"/>
      <c r="M118" s="41">
        <v>59209.0</v>
      </c>
      <c r="N118" s="3"/>
      <c r="S118" s="3"/>
      <c r="T118" s="3"/>
    </row>
    <row r="119">
      <c r="A119" s="42" t="s">
        <v>26</v>
      </c>
      <c r="B119" s="43">
        <f>359*H119</f>
        <v>88314</v>
      </c>
      <c r="C119" s="63">
        <f t="shared" si="62"/>
        <v>53874</v>
      </c>
      <c r="D119" s="45">
        <f t="shared" si="63"/>
        <v>34440</v>
      </c>
      <c r="E119" s="11">
        <f t="shared" si="64"/>
        <v>38.99721448</v>
      </c>
      <c r="F119" s="46">
        <f t="shared" si="65"/>
        <v>140</v>
      </c>
      <c r="G119" s="14">
        <f>199*H119</f>
        <v>48954</v>
      </c>
      <c r="H119" s="48">
        <v>246.0</v>
      </c>
      <c r="I119" s="14">
        <v>0.0</v>
      </c>
      <c r="J119" s="64">
        <v>0.0</v>
      </c>
      <c r="K119" s="65">
        <f t="shared" si="66"/>
        <v>4920</v>
      </c>
      <c r="L119" s="53"/>
      <c r="M119" s="3"/>
      <c r="N119" s="3"/>
      <c r="S119" s="3"/>
      <c r="T119" s="3"/>
    </row>
    <row r="120">
      <c r="A120" s="42" t="s">
        <v>23</v>
      </c>
      <c r="B120" s="43">
        <f>781*H120</f>
        <v>153076</v>
      </c>
      <c r="C120" s="44">
        <f t="shared" si="62"/>
        <v>66444</v>
      </c>
      <c r="D120" s="45">
        <f t="shared" si="63"/>
        <v>86632</v>
      </c>
      <c r="E120" s="11">
        <f t="shared" si="64"/>
        <v>56.59411012</v>
      </c>
      <c r="F120" s="46">
        <f t="shared" si="65"/>
        <v>442</v>
      </c>
      <c r="G120" s="14">
        <f>319*H120</f>
        <v>62524</v>
      </c>
      <c r="H120" s="48">
        <v>196.0</v>
      </c>
      <c r="I120" s="14">
        <v>0.0</v>
      </c>
      <c r="J120" s="66">
        <f t="shared" ref="J120:J121" si="67">L120%*M120</f>
        <v>0</v>
      </c>
      <c r="K120" s="65">
        <f t="shared" si="66"/>
        <v>3920</v>
      </c>
      <c r="L120" s="3"/>
      <c r="M120" s="3"/>
      <c r="N120" s="3"/>
      <c r="S120" s="3"/>
      <c r="T120" s="3"/>
    </row>
    <row r="121">
      <c r="A121" s="42" t="s">
        <v>29</v>
      </c>
      <c r="B121" s="43">
        <f>843*H121</f>
        <v>185460</v>
      </c>
      <c r="C121" s="44">
        <f t="shared" si="62"/>
        <v>75460</v>
      </c>
      <c r="D121" s="45">
        <f t="shared" si="63"/>
        <v>110000</v>
      </c>
      <c r="E121" s="11">
        <f t="shared" si="64"/>
        <v>59.31198102</v>
      </c>
      <c r="F121" s="46">
        <f t="shared" si="65"/>
        <v>500</v>
      </c>
      <c r="G121" s="14">
        <f>323*H121</f>
        <v>71060</v>
      </c>
      <c r="H121" s="48">
        <v>220.0</v>
      </c>
      <c r="I121" s="14">
        <v>0.0</v>
      </c>
      <c r="J121" s="66">
        <f t="shared" si="67"/>
        <v>0</v>
      </c>
      <c r="K121" s="65">
        <f t="shared" si="66"/>
        <v>4400</v>
      </c>
      <c r="L121" s="3"/>
      <c r="M121" s="3"/>
      <c r="N121" s="3"/>
      <c r="S121" s="3"/>
      <c r="T121" s="3"/>
    </row>
    <row r="122">
      <c r="A122" s="3"/>
      <c r="B122" s="41">
        <f t="shared" ref="B122:H122" si="68">SUM(B118:B121)</f>
        <v>615636</v>
      </c>
      <c r="C122" s="67">
        <f t="shared" si="68"/>
        <v>265648</v>
      </c>
      <c r="D122" s="53">
        <f t="shared" si="68"/>
        <v>349988</v>
      </c>
      <c r="E122" s="68">
        <f t="shared" si="68"/>
        <v>217.893146</v>
      </c>
      <c r="F122" s="68">
        <f t="shared" si="68"/>
        <v>1516</v>
      </c>
      <c r="G122" s="41">
        <f t="shared" si="68"/>
        <v>246928</v>
      </c>
      <c r="H122" s="41">
        <f t="shared" si="68"/>
        <v>936</v>
      </c>
      <c r="I122" s="41">
        <v>144647.0</v>
      </c>
      <c r="J122" s="67">
        <v>144647.0</v>
      </c>
      <c r="K122" s="41">
        <f>SUM(K118:K121)</f>
        <v>18720</v>
      </c>
      <c r="L122" s="3"/>
      <c r="M122" s="3"/>
      <c r="N122" s="3"/>
      <c r="O122" s="3"/>
      <c r="P122" s="3"/>
      <c r="Q122" s="3"/>
      <c r="R122" s="3"/>
      <c r="S122" s="3"/>
      <c r="T122" s="3"/>
      <c r="Y122" s="3"/>
      <c r="Z122" s="3"/>
    </row>
    <row r="125">
      <c r="A125" s="31" t="s">
        <v>40</v>
      </c>
      <c r="B125" s="32">
        <f>B122</f>
        <v>615636</v>
      </c>
      <c r="C125" s="3"/>
      <c r="D125" s="101" t="s">
        <v>39</v>
      </c>
      <c r="E125" s="28" t="s">
        <v>150</v>
      </c>
    </row>
    <row r="126">
      <c r="A126" s="31" t="s">
        <v>41</v>
      </c>
      <c r="B126" s="32">
        <f>G122</f>
        <v>246928</v>
      </c>
      <c r="C126" s="3"/>
      <c r="D126" s="33" t="s">
        <v>41</v>
      </c>
      <c r="E126" s="34">
        <f>B126/H122</f>
        <v>263.8119658</v>
      </c>
    </row>
    <row r="127">
      <c r="A127" s="31" t="s">
        <v>74</v>
      </c>
      <c r="B127" s="32">
        <f>K122</f>
        <v>18720</v>
      </c>
      <c r="C127" s="3"/>
      <c r="D127" s="33" t="s">
        <v>42</v>
      </c>
      <c r="E127" s="34">
        <f>B128/H122</f>
        <v>154.5373932</v>
      </c>
    </row>
    <row r="128">
      <c r="A128" s="31" t="s">
        <v>75</v>
      </c>
      <c r="B128" s="62">
        <f>J122</f>
        <v>144647</v>
      </c>
      <c r="C128" s="3"/>
      <c r="D128" s="69" t="s">
        <v>43</v>
      </c>
      <c r="E128" s="34">
        <f>K122/H122</f>
        <v>20</v>
      </c>
    </row>
    <row r="129">
      <c r="A129" s="31" t="s">
        <v>62</v>
      </c>
      <c r="B129" s="32">
        <f>B125-SUM(B126:B128)</f>
        <v>205341</v>
      </c>
      <c r="C129" s="3"/>
      <c r="D129" s="33" t="s">
        <v>45</v>
      </c>
      <c r="E129" s="34">
        <f>B125/H122</f>
        <v>657.7307692</v>
      </c>
    </row>
    <row r="130">
      <c r="A130" s="31" t="s">
        <v>47</v>
      </c>
      <c r="B130" s="62">
        <f>B129/B125*100</f>
        <v>33.35428727</v>
      </c>
      <c r="C130" s="3"/>
      <c r="D130" s="3"/>
      <c r="E130" s="3"/>
    </row>
    <row r="134">
      <c r="X134" s="3"/>
    </row>
    <row r="135">
      <c r="X135" s="3"/>
    </row>
    <row r="136">
      <c r="A136" s="1" t="s">
        <v>156</v>
      </c>
      <c r="B136" s="2" t="s">
        <v>76</v>
      </c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U137" s="3"/>
      <c r="V137" s="3"/>
      <c r="W137" s="3"/>
    </row>
    <row r="138">
      <c r="A138" s="38" t="s">
        <v>49</v>
      </c>
      <c r="B138" s="24" t="s">
        <v>3</v>
      </c>
      <c r="C138" s="24" t="s">
        <v>4</v>
      </c>
      <c r="D138" s="24" t="s">
        <v>5</v>
      </c>
      <c r="E138" s="39" t="s">
        <v>6</v>
      </c>
      <c r="F138" s="24" t="s">
        <v>7</v>
      </c>
      <c r="G138" s="24" t="s">
        <v>71</v>
      </c>
      <c r="H138" s="24" t="s">
        <v>9</v>
      </c>
      <c r="I138" s="24" t="s">
        <v>77</v>
      </c>
      <c r="J138" s="24" t="s">
        <v>73</v>
      </c>
      <c r="K138" s="28" t="s">
        <v>43</v>
      </c>
      <c r="U138" s="3"/>
      <c r="V138" s="3"/>
      <c r="W138" s="3"/>
    </row>
    <row r="139">
      <c r="A139" s="42" t="s">
        <v>21</v>
      </c>
      <c r="B139" s="43">
        <f>727*H139</f>
        <v>214465</v>
      </c>
      <c r="C139" s="44">
        <f t="shared" ref="C139:C141" si="69">J139+G139+I139+K139</f>
        <v>75225</v>
      </c>
      <c r="D139" s="45">
        <f t="shared" ref="D139:D142" si="70">B139-C139</f>
        <v>139240</v>
      </c>
      <c r="E139" s="11">
        <f t="shared" ref="E139:E141" si="71">D139/B139*100</f>
        <v>64.92434663</v>
      </c>
      <c r="F139" s="46">
        <f t="shared" ref="F139:F141" si="72">D139/H139</f>
        <v>472</v>
      </c>
      <c r="G139" s="14">
        <f>235*H139</f>
        <v>69325</v>
      </c>
      <c r="H139" s="48">
        <f>295</f>
        <v>295</v>
      </c>
      <c r="I139" s="14">
        <v>0.0</v>
      </c>
      <c r="J139" s="66">
        <v>0.0</v>
      </c>
      <c r="K139" s="65">
        <f t="shared" ref="K139:K141" si="73">20*H139</f>
        <v>5900</v>
      </c>
    </row>
    <row r="140">
      <c r="A140" s="42" t="s">
        <v>26</v>
      </c>
      <c r="B140" s="43">
        <f>385*H140</f>
        <v>100870</v>
      </c>
      <c r="C140" s="44">
        <f t="shared" si="69"/>
        <v>57378</v>
      </c>
      <c r="D140" s="45">
        <f t="shared" si="70"/>
        <v>43492</v>
      </c>
      <c r="E140" s="11">
        <f t="shared" si="71"/>
        <v>43.11688312</v>
      </c>
      <c r="F140" s="46">
        <f t="shared" si="72"/>
        <v>166</v>
      </c>
      <c r="G140" s="14">
        <f>199*H140</f>
        <v>52138</v>
      </c>
      <c r="H140" s="48">
        <f>262</f>
        <v>262</v>
      </c>
      <c r="I140" s="14">
        <v>0.0</v>
      </c>
      <c r="J140" s="66">
        <v>0.0</v>
      </c>
      <c r="K140" s="65">
        <f t="shared" si="73"/>
        <v>5240</v>
      </c>
    </row>
    <row r="141">
      <c r="A141" s="42" t="s">
        <v>23</v>
      </c>
      <c r="B141" s="43">
        <f>801*H141</f>
        <v>190638</v>
      </c>
      <c r="C141" s="44">
        <f t="shared" si="69"/>
        <v>80682</v>
      </c>
      <c r="D141" s="45">
        <f t="shared" si="70"/>
        <v>109956</v>
      </c>
      <c r="E141" s="11">
        <f t="shared" si="71"/>
        <v>57.67790262</v>
      </c>
      <c r="F141" s="46">
        <f t="shared" si="72"/>
        <v>462</v>
      </c>
      <c r="G141" s="14">
        <f>319*H141</f>
        <v>75922</v>
      </c>
      <c r="H141" s="48">
        <f>238</f>
        <v>238</v>
      </c>
      <c r="I141" s="14">
        <v>0.0</v>
      </c>
      <c r="J141" s="66">
        <v>0.0</v>
      </c>
      <c r="K141" s="65">
        <f t="shared" si="73"/>
        <v>4760</v>
      </c>
    </row>
    <row r="142">
      <c r="A142" s="3"/>
      <c r="B142" s="41">
        <f t="shared" ref="B142:C142" si="74">SUM(B139:B141)</f>
        <v>505973</v>
      </c>
      <c r="C142" s="41">
        <f t="shared" si="74"/>
        <v>213285</v>
      </c>
      <c r="D142" s="41">
        <f t="shared" si="70"/>
        <v>292688</v>
      </c>
      <c r="E142" s="3"/>
      <c r="F142" s="3"/>
      <c r="G142" s="41">
        <f t="shared" ref="G142:H142" si="75">SUM(G139:G141)</f>
        <v>197385</v>
      </c>
      <c r="H142" s="41">
        <f t="shared" si="75"/>
        <v>795</v>
      </c>
      <c r="I142" s="3">
        <v>22568.0</v>
      </c>
      <c r="J142" s="3">
        <v>22568.0</v>
      </c>
      <c r="K142" s="41">
        <f>SUM(K139:K141)</f>
        <v>15900</v>
      </c>
    </row>
    <row r="144">
      <c r="A144" s="31" t="s">
        <v>40</v>
      </c>
      <c r="B144" s="32">
        <f>B142</f>
        <v>505973</v>
      </c>
      <c r="C144" s="3"/>
      <c r="D144" s="30" t="s">
        <v>39</v>
      </c>
      <c r="E144" s="3" t="s">
        <v>151</v>
      </c>
    </row>
    <row r="145">
      <c r="A145" s="31" t="s">
        <v>41</v>
      </c>
      <c r="B145" s="32">
        <f>G142</f>
        <v>197385</v>
      </c>
      <c r="C145" s="3"/>
      <c r="D145" s="33" t="s">
        <v>41</v>
      </c>
      <c r="E145" s="34">
        <f>B145/H142</f>
        <v>248.2830189</v>
      </c>
    </row>
    <row r="146">
      <c r="A146" s="31" t="s">
        <v>74</v>
      </c>
      <c r="B146" s="32">
        <f>K142</f>
        <v>15900</v>
      </c>
      <c r="C146" s="3"/>
      <c r="D146" s="33" t="s">
        <v>42</v>
      </c>
      <c r="E146" s="34">
        <f>B147/H142</f>
        <v>56.77484277</v>
      </c>
    </row>
    <row r="147">
      <c r="A147" s="31" t="s">
        <v>75</v>
      </c>
      <c r="B147" s="32">
        <f>I142+J142</f>
        <v>45136</v>
      </c>
      <c r="C147" s="3"/>
      <c r="D147" s="69" t="s">
        <v>43</v>
      </c>
      <c r="E147" s="34">
        <f>B146/H142</f>
        <v>20</v>
      </c>
    </row>
    <row r="148">
      <c r="A148" s="31" t="s">
        <v>62</v>
      </c>
      <c r="B148" s="32">
        <f>B144-SUM(B145:B147)</f>
        <v>247552</v>
      </c>
      <c r="C148" s="3"/>
      <c r="D148" s="33" t="s">
        <v>45</v>
      </c>
      <c r="E148" s="34">
        <f>B144/H142</f>
        <v>636.4440252</v>
      </c>
    </row>
    <row r="149">
      <c r="A149" s="31" t="s">
        <v>47</v>
      </c>
      <c r="B149" s="62">
        <f>B148/B144*100</f>
        <v>48.92593083</v>
      </c>
      <c r="C149" s="3"/>
      <c r="D149" s="3"/>
      <c r="E149" s="3"/>
    </row>
    <row r="152">
      <c r="A152" s="1" t="s">
        <v>156</v>
      </c>
      <c r="B152" s="2" t="s">
        <v>78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S153" s="3"/>
      <c r="T153" s="3"/>
    </row>
    <row r="154">
      <c r="A154" s="38" t="s">
        <v>49</v>
      </c>
      <c r="B154" s="24" t="s">
        <v>3</v>
      </c>
      <c r="C154" s="24" t="s">
        <v>4</v>
      </c>
      <c r="D154" s="24" t="s">
        <v>5</v>
      </c>
      <c r="E154" s="39" t="s">
        <v>6</v>
      </c>
      <c r="F154" s="24" t="s">
        <v>7</v>
      </c>
      <c r="G154" s="24" t="s">
        <v>11</v>
      </c>
      <c r="H154" s="24" t="s">
        <v>12</v>
      </c>
      <c r="I154" s="3"/>
      <c r="J154" s="3"/>
      <c r="K154" s="3"/>
      <c r="L154" s="3"/>
    </row>
    <row r="155">
      <c r="A155" s="42" t="s">
        <v>21</v>
      </c>
      <c r="B155" s="43">
        <f>90332.61</f>
        <v>90332.61</v>
      </c>
      <c r="C155" s="44">
        <f t="shared" ref="C155:C170" si="76">G155</f>
        <v>31750</v>
      </c>
      <c r="D155" s="45">
        <f t="shared" ref="D155:D171" si="77">B155-C155</f>
        <v>58582.61</v>
      </c>
      <c r="E155" s="11">
        <f t="shared" ref="E155:E170" si="78">D155/B155*100</f>
        <v>64.85211708</v>
      </c>
      <c r="F155" s="46">
        <f t="shared" ref="F155:F170" si="79">D155/H155</f>
        <v>461.2803937</v>
      </c>
      <c r="G155" s="14">
        <f>250*H155</f>
        <v>31750</v>
      </c>
      <c r="H155" s="48">
        <v>127.0</v>
      </c>
      <c r="I155" s="3"/>
      <c r="J155" s="3"/>
      <c r="K155" s="3"/>
      <c r="L155" s="3"/>
    </row>
    <row r="156">
      <c r="A156" s="42" t="s">
        <v>23</v>
      </c>
      <c r="B156" s="43">
        <f>41735.37</f>
        <v>41735.37</v>
      </c>
      <c r="C156" s="44">
        <f t="shared" si="76"/>
        <v>15400</v>
      </c>
      <c r="D156" s="45">
        <f t="shared" si="77"/>
        <v>26335.37</v>
      </c>
      <c r="E156" s="11">
        <f t="shared" si="78"/>
        <v>63.10084228</v>
      </c>
      <c r="F156" s="46">
        <f t="shared" si="79"/>
        <v>598.5311364</v>
      </c>
      <c r="G156" s="14">
        <f>350*H156</f>
        <v>15400</v>
      </c>
      <c r="H156" s="48">
        <v>44.0</v>
      </c>
      <c r="I156" s="3"/>
      <c r="J156" s="3"/>
      <c r="K156" s="3"/>
      <c r="L156" s="3"/>
    </row>
    <row r="157">
      <c r="A157" s="42" t="s">
        <v>25</v>
      </c>
      <c r="B157" s="43">
        <f>1569.31</f>
        <v>1569.31</v>
      </c>
      <c r="C157" s="44">
        <f t="shared" si="76"/>
        <v>900</v>
      </c>
      <c r="D157" s="45">
        <f t="shared" si="77"/>
        <v>669.31</v>
      </c>
      <c r="E157" s="11">
        <f t="shared" si="78"/>
        <v>42.64995444</v>
      </c>
      <c r="F157" s="46">
        <f t="shared" si="79"/>
        <v>669.31</v>
      </c>
      <c r="G157" s="14">
        <f> 900*H157</f>
        <v>900</v>
      </c>
      <c r="H157" s="48">
        <v>1.0</v>
      </c>
      <c r="I157" s="3"/>
      <c r="J157" s="3"/>
      <c r="K157" s="3"/>
      <c r="L157" s="3"/>
    </row>
    <row r="158">
      <c r="A158" s="42" t="s">
        <v>26</v>
      </c>
      <c r="B158" s="43">
        <f>13928.45</f>
        <v>13928.45</v>
      </c>
      <c r="C158" s="44">
        <f t="shared" si="76"/>
        <v>7260</v>
      </c>
      <c r="D158" s="45">
        <f t="shared" si="77"/>
        <v>6668.45</v>
      </c>
      <c r="E158" s="11">
        <f t="shared" si="78"/>
        <v>47.87646867</v>
      </c>
      <c r="F158" s="46">
        <f t="shared" si="79"/>
        <v>202.0742424</v>
      </c>
      <c r="G158" s="14">
        <f>220*H158</f>
        <v>7260</v>
      </c>
      <c r="H158" s="48">
        <v>33.0</v>
      </c>
      <c r="I158" s="3"/>
      <c r="J158" s="3"/>
      <c r="K158" s="3"/>
      <c r="L158" s="3"/>
    </row>
    <row r="159">
      <c r="A159" s="42" t="s">
        <v>28</v>
      </c>
      <c r="B159" s="43">
        <v>0.0</v>
      </c>
      <c r="C159" s="44">
        <f t="shared" si="76"/>
        <v>0</v>
      </c>
      <c r="D159" s="45">
        <f t="shared" si="77"/>
        <v>0</v>
      </c>
      <c r="E159" s="11" t="str">
        <f t="shared" si="78"/>
        <v>#DIV/0!</v>
      </c>
      <c r="F159" s="46" t="str">
        <f t="shared" si="79"/>
        <v>#DIV/0!</v>
      </c>
      <c r="G159" s="14">
        <f>250*H159</f>
        <v>0</v>
      </c>
      <c r="H159" s="48">
        <v>0.0</v>
      </c>
      <c r="I159" s="3"/>
      <c r="J159" s="3"/>
      <c r="K159" s="3"/>
      <c r="L159" s="3"/>
    </row>
    <row r="160">
      <c r="A160" s="42" t="s">
        <v>29</v>
      </c>
      <c r="B160" s="43">
        <f>39669.38</f>
        <v>39669.38</v>
      </c>
      <c r="C160" s="44">
        <f t="shared" si="76"/>
        <v>15040</v>
      </c>
      <c r="D160" s="45">
        <f t="shared" si="77"/>
        <v>24629.38</v>
      </c>
      <c r="E160" s="11">
        <f t="shared" si="78"/>
        <v>62.08662702</v>
      </c>
      <c r="F160" s="46">
        <f t="shared" si="79"/>
        <v>524.0293617</v>
      </c>
      <c r="G160" s="14">
        <f>320*H160</f>
        <v>15040</v>
      </c>
      <c r="H160" s="48">
        <v>47.0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42" t="s">
        <v>31</v>
      </c>
      <c r="B161" s="43">
        <f>5360.34</f>
        <v>5360.34</v>
      </c>
      <c r="C161" s="44">
        <f t="shared" si="76"/>
        <v>3000</v>
      </c>
      <c r="D161" s="45">
        <f t="shared" si="77"/>
        <v>2360.34</v>
      </c>
      <c r="E161" s="11">
        <f t="shared" si="78"/>
        <v>44.03340087</v>
      </c>
      <c r="F161" s="46">
        <f t="shared" si="79"/>
        <v>393.39</v>
      </c>
      <c r="G161" s="14">
        <f>500*H161</f>
        <v>3000</v>
      </c>
      <c r="H161" s="48">
        <v>6.0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2" t="s">
        <v>32</v>
      </c>
      <c r="B162" s="43">
        <v>0.0</v>
      </c>
      <c r="C162" s="44">
        <f t="shared" si="76"/>
        <v>0</v>
      </c>
      <c r="D162" s="45">
        <f t="shared" si="77"/>
        <v>0</v>
      </c>
      <c r="E162" s="11" t="str">
        <f t="shared" si="78"/>
        <v>#DIV/0!</v>
      </c>
      <c r="F162" s="46" t="str">
        <f t="shared" si="79"/>
        <v>#DIV/0!</v>
      </c>
      <c r="G162" s="14">
        <f>800*H162</f>
        <v>0</v>
      </c>
      <c r="H162" s="48">
        <v>0.0</v>
      </c>
      <c r="I162" s="3"/>
      <c r="J162" s="3"/>
      <c r="K162" s="3"/>
      <c r="L162" s="3"/>
    </row>
    <row r="163">
      <c r="A163" s="42" t="s">
        <v>33</v>
      </c>
      <c r="B163" s="43">
        <f>40487.84</f>
        <v>40487.84</v>
      </c>
      <c r="C163" s="44">
        <f t="shared" si="76"/>
        <v>31000</v>
      </c>
      <c r="D163" s="45">
        <f t="shared" si="77"/>
        <v>9487.84</v>
      </c>
      <c r="E163" s="11">
        <f t="shared" si="78"/>
        <v>23.43380136</v>
      </c>
      <c r="F163" s="46">
        <f t="shared" si="79"/>
        <v>306.0593548</v>
      </c>
      <c r="G163" s="14">
        <f>1000*H163</f>
        <v>31000</v>
      </c>
      <c r="H163" s="48">
        <v>31.0</v>
      </c>
      <c r="I163" s="3"/>
      <c r="J163" s="3"/>
      <c r="K163" s="3"/>
      <c r="L163" s="3"/>
    </row>
    <row r="164" ht="14.25" customHeight="1">
      <c r="A164" s="211" t="s">
        <v>131</v>
      </c>
      <c r="B164" s="212">
        <f>18284.83</f>
        <v>18284.83</v>
      </c>
      <c r="C164" s="221">
        <f t="shared" si="76"/>
        <v>12600</v>
      </c>
      <c r="D164" s="214">
        <f t="shared" si="77"/>
        <v>5684.83</v>
      </c>
      <c r="E164" s="215">
        <f t="shared" si="78"/>
        <v>31.09041758</v>
      </c>
      <c r="F164" s="216">
        <f t="shared" si="79"/>
        <v>406.0592857</v>
      </c>
      <c r="G164" s="218">
        <f>(900)*H164</f>
        <v>12600</v>
      </c>
      <c r="H164" s="219">
        <v>14.0</v>
      </c>
    </row>
    <row r="165">
      <c r="A165" s="42" t="s">
        <v>54</v>
      </c>
      <c r="B165" s="43">
        <v>0.0</v>
      </c>
      <c r="C165" s="44">
        <f t="shared" si="76"/>
        <v>0</v>
      </c>
      <c r="D165" s="45">
        <f t="shared" si="77"/>
        <v>0</v>
      </c>
      <c r="E165" s="11" t="str">
        <f t="shared" si="78"/>
        <v>#DIV/0!</v>
      </c>
      <c r="F165" s="46" t="str">
        <f t="shared" si="79"/>
        <v>#DIV/0!</v>
      </c>
      <c r="G165" s="14">
        <f>200*H165</f>
        <v>0</v>
      </c>
      <c r="H165" s="48">
        <v>0.0</v>
      </c>
      <c r="I165" s="3"/>
      <c r="J165" s="3"/>
      <c r="K165" s="3"/>
      <c r="L165" s="3"/>
      <c r="N165" s="3"/>
    </row>
    <row r="166">
      <c r="A166" s="42" t="s">
        <v>55</v>
      </c>
      <c r="B166" s="43">
        <f>28263.67</f>
        <v>28263.67</v>
      </c>
      <c r="C166" s="44">
        <f t="shared" si="76"/>
        <v>14210</v>
      </c>
      <c r="D166" s="45">
        <f t="shared" si="77"/>
        <v>14053.67</v>
      </c>
      <c r="E166" s="11">
        <f t="shared" si="78"/>
        <v>49.72344356</v>
      </c>
      <c r="F166" s="46">
        <f t="shared" si="79"/>
        <v>484.6093103</v>
      </c>
      <c r="G166" s="14">
        <f>(270+220)*H166</f>
        <v>14210</v>
      </c>
      <c r="H166" s="48">
        <v>29.0</v>
      </c>
      <c r="I166" s="3"/>
      <c r="J166" s="3"/>
      <c r="K166" s="3"/>
      <c r="L166" s="3"/>
    </row>
    <row r="167">
      <c r="A167" s="42" t="s">
        <v>56</v>
      </c>
      <c r="B167" s="43">
        <v>0.0</v>
      </c>
      <c r="C167" s="44">
        <f t="shared" si="76"/>
        <v>0</v>
      </c>
      <c r="D167" s="45">
        <f t="shared" si="77"/>
        <v>0</v>
      </c>
      <c r="E167" s="11" t="str">
        <f t="shared" si="78"/>
        <v>#DIV/0!</v>
      </c>
      <c r="F167" s="46" t="str">
        <f t="shared" si="79"/>
        <v>#DIV/0!</v>
      </c>
      <c r="G167" s="14">
        <f>(270+350)*H167</f>
        <v>0</v>
      </c>
      <c r="H167" s="48">
        <v>0.0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42" t="s">
        <v>57</v>
      </c>
      <c r="B168" s="43">
        <f>14619.14</f>
        <v>14619.14</v>
      </c>
      <c r="C168" s="44">
        <f t="shared" si="76"/>
        <v>5900</v>
      </c>
      <c r="D168" s="45">
        <f t="shared" si="77"/>
        <v>8719.14</v>
      </c>
      <c r="E168" s="11">
        <f t="shared" si="78"/>
        <v>59.64194884</v>
      </c>
      <c r="F168" s="46">
        <f t="shared" si="79"/>
        <v>871.914</v>
      </c>
      <c r="G168" s="14">
        <f>(270+320)*H168</f>
        <v>5900</v>
      </c>
      <c r="H168" s="48">
        <v>10.0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42" t="s">
        <v>58</v>
      </c>
      <c r="B169" s="43">
        <f>29205.74</f>
        <v>29205.74</v>
      </c>
      <c r="C169" s="44">
        <f t="shared" si="76"/>
        <v>16530</v>
      </c>
      <c r="D169" s="45">
        <f t="shared" si="77"/>
        <v>12675.74</v>
      </c>
      <c r="E169" s="11">
        <f t="shared" si="78"/>
        <v>43.40153682</v>
      </c>
      <c r="F169" s="46">
        <f t="shared" si="79"/>
        <v>437.0944828</v>
      </c>
      <c r="G169" s="14">
        <f>(350+220)*H169</f>
        <v>16530</v>
      </c>
      <c r="H169" s="48">
        <v>29.0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42" t="s">
        <v>59</v>
      </c>
      <c r="B170" s="43">
        <f>33624.02</f>
        <v>33624.02</v>
      </c>
      <c r="C170" s="44">
        <f t="shared" si="76"/>
        <v>15410</v>
      </c>
      <c r="D170" s="45">
        <f t="shared" si="77"/>
        <v>18214.02</v>
      </c>
      <c r="E170" s="11">
        <f t="shared" si="78"/>
        <v>54.16966799</v>
      </c>
      <c r="F170" s="46">
        <f t="shared" si="79"/>
        <v>791.913913</v>
      </c>
      <c r="G170" s="14">
        <f>(350+320)*H170</f>
        <v>15410</v>
      </c>
      <c r="H170" s="48">
        <v>23.0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 t="s">
        <v>38</v>
      </c>
      <c r="B171" s="57">
        <f t="shared" ref="B171:C171" si="80">SUM(B155:B170)</f>
        <v>357080.7</v>
      </c>
      <c r="C171" s="41">
        <f t="shared" si="80"/>
        <v>169000</v>
      </c>
      <c r="D171" s="57">
        <f t="shared" si="77"/>
        <v>188080.7</v>
      </c>
      <c r="E171" s="3"/>
      <c r="F171" s="3"/>
      <c r="G171" s="41">
        <f t="shared" ref="G171:H171" si="81">SUM(G155:G170)</f>
        <v>169000</v>
      </c>
      <c r="H171" s="41">
        <f t="shared" si="81"/>
        <v>394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3">
      <c r="A173" s="31" t="s">
        <v>40</v>
      </c>
      <c r="B173" s="36">
        <f>B171</f>
        <v>357080.7</v>
      </c>
      <c r="C173" s="3"/>
      <c r="D173" s="30"/>
      <c r="E173" s="3"/>
    </row>
    <row r="174">
      <c r="A174" s="31" t="s">
        <v>41</v>
      </c>
      <c r="B174" s="32">
        <f>G171</f>
        <v>169000</v>
      </c>
      <c r="C174" s="3"/>
      <c r="D174" s="33" t="s">
        <v>41</v>
      </c>
      <c r="E174" s="34">
        <f>B174/H171</f>
        <v>428.9340102</v>
      </c>
    </row>
    <row r="175">
      <c r="A175" s="31" t="s">
        <v>74</v>
      </c>
      <c r="B175" s="32">
        <v>0.0</v>
      </c>
      <c r="C175" s="3"/>
      <c r="D175" s="33" t="s">
        <v>42</v>
      </c>
      <c r="E175" s="34">
        <f>B176</f>
        <v>0</v>
      </c>
    </row>
    <row r="176">
      <c r="A176" s="31" t="s">
        <v>75</v>
      </c>
      <c r="B176" s="32">
        <f>I170+J170</f>
        <v>0</v>
      </c>
      <c r="C176" s="3"/>
      <c r="D176" s="69" t="s">
        <v>43</v>
      </c>
      <c r="E176" s="34">
        <f>B175/H171</f>
        <v>0</v>
      </c>
    </row>
    <row r="177">
      <c r="A177" s="31" t="s">
        <v>62</v>
      </c>
      <c r="B177" s="36">
        <f>B173-SUM(B174:B176)</f>
        <v>188080.7</v>
      </c>
      <c r="C177" s="3"/>
      <c r="D177" s="33" t="s">
        <v>45</v>
      </c>
      <c r="E177" s="34">
        <f>B173/H171</f>
        <v>906.2961929</v>
      </c>
    </row>
    <row r="178">
      <c r="A178" s="31" t="s">
        <v>47</v>
      </c>
      <c r="B178" s="62">
        <f>B177/B173*100</f>
        <v>52.67176299</v>
      </c>
      <c r="C178" s="3"/>
      <c r="D178" s="3"/>
      <c r="E178" s="3"/>
    </row>
    <row r="180" ht="18.0" customHeight="1"/>
    <row r="181">
      <c r="A181" s="127">
        <v>45870.0</v>
      </c>
    </row>
    <row r="182" ht="15.75" customHeight="1"/>
    <row r="183">
      <c r="A183" s="227" t="s">
        <v>152</v>
      </c>
      <c r="B183" s="228">
        <f>H171+H142+H122+I102+I69+K35</f>
        <v>11465</v>
      </c>
      <c r="D183" s="60" t="s">
        <v>21</v>
      </c>
      <c r="E183" s="58">
        <f>B4+B51+B88+B118+B139+B155</f>
        <v>2620958.3</v>
      </c>
    </row>
    <row r="184">
      <c r="A184" s="71" t="s">
        <v>79</v>
      </c>
      <c r="B184" s="72">
        <f>B173+B144+B125+B105+B72+B40+50000</f>
        <v>11650723.21</v>
      </c>
      <c r="D184" s="60" t="s">
        <v>23</v>
      </c>
      <c r="E184" s="58">
        <f>B6+B52+B89+B120+B141+B156</f>
        <v>2478567.24</v>
      </c>
    </row>
    <row r="185">
      <c r="A185" s="229" t="s">
        <v>41</v>
      </c>
      <c r="B185" s="230">
        <f>B41+B73+B106+B126+B145+B174+15000</f>
        <v>3955349</v>
      </c>
      <c r="D185" s="60" t="s">
        <v>25</v>
      </c>
      <c r="E185" s="58">
        <f>B8+B53+B90+B157</f>
        <v>352505.58</v>
      </c>
      <c r="F185" s="168"/>
      <c r="G185" s="70"/>
      <c r="H185" s="129"/>
      <c r="I185" s="129"/>
      <c r="J185" s="129"/>
      <c r="K185" s="70"/>
    </row>
    <row r="186">
      <c r="A186" s="231" t="s">
        <v>80</v>
      </c>
      <c r="B186" s="232">
        <f>B184-B185</f>
        <v>7695374.21</v>
      </c>
      <c r="D186" s="60" t="s">
        <v>26</v>
      </c>
      <c r="E186" s="58">
        <f>B9+B54+B91+B119+B140+B158</f>
        <v>585037.07</v>
      </c>
      <c r="G186" s="70"/>
      <c r="H186" s="70"/>
      <c r="I186" s="169"/>
      <c r="J186" s="148"/>
      <c r="K186" s="70"/>
      <c r="M186" s="128"/>
      <c r="N186" s="113"/>
    </row>
    <row r="187">
      <c r="A187" s="71" t="s">
        <v>81</v>
      </c>
      <c r="B187" s="78">
        <f>B186/B184</f>
        <v>0.6605061395</v>
      </c>
      <c r="D187" s="60" t="s">
        <v>28</v>
      </c>
      <c r="E187" s="58">
        <f>B12+B55+B159</f>
        <v>0</v>
      </c>
      <c r="F187" s="113"/>
      <c r="G187" s="70"/>
      <c r="H187" s="70"/>
      <c r="I187" s="169"/>
      <c r="J187" s="148"/>
      <c r="K187" s="70"/>
    </row>
    <row r="188">
      <c r="A188" s="231" t="s">
        <v>82</v>
      </c>
      <c r="B188" s="232">
        <f>B175+B146+B127+B107+B74+B42+B75</f>
        <v>1237533.21</v>
      </c>
      <c r="D188" s="60" t="s">
        <v>29</v>
      </c>
      <c r="E188" s="58">
        <f>B13+B56+B93+B121+B160</f>
        <v>1859300.43</v>
      </c>
      <c r="F188" s="113"/>
      <c r="G188" s="70"/>
      <c r="H188" s="70"/>
      <c r="I188" s="169"/>
      <c r="J188" s="148"/>
      <c r="K188" s="70"/>
      <c r="L188" s="128"/>
      <c r="M188" s="113"/>
    </row>
    <row r="189">
      <c r="A189" s="233" t="s">
        <v>83</v>
      </c>
      <c r="B189" s="234">
        <f>B43+B76+B108+B128+B147+B176</f>
        <v>5027699.6</v>
      </c>
      <c r="D189" s="60" t="s">
        <v>31</v>
      </c>
      <c r="E189" s="58">
        <f>B15+B57+B94+B161</f>
        <v>211829.69</v>
      </c>
      <c r="F189" s="113"/>
      <c r="G189" s="70"/>
      <c r="H189" s="70"/>
      <c r="I189" s="169"/>
      <c r="J189" s="148"/>
      <c r="K189" s="70"/>
    </row>
    <row r="190">
      <c r="A190" s="81" t="s">
        <v>84</v>
      </c>
      <c r="B190" s="82">
        <f>B186-(B188+B189)</f>
        <v>1430141.4</v>
      </c>
      <c r="D190" s="60" t="s">
        <v>32</v>
      </c>
      <c r="E190" s="58">
        <f>B16+B58+B162</f>
        <v>78328.33</v>
      </c>
      <c r="G190" s="70"/>
      <c r="H190" s="157"/>
      <c r="I190" s="170"/>
      <c r="J190" s="148"/>
      <c r="K190" s="70"/>
    </row>
    <row r="191">
      <c r="A191" s="71" t="s">
        <v>85</v>
      </c>
      <c r="B191" s="78">
        <f>B190/B184</f>
        <v>0.1227512983</v>
      </c>
      <c r="D191" s="60" t="s">
        <v>33</v>
      </c>
      <c r="E191" s="58">
        <f>B17+B59+B96+B163</f>
        <v>1424857.97</v>
      </c>
      <c r="G191" s="70"/>
      <c r="H191" s="70"/>
      <c r="I191" s="169"/>
      <c r="J191" s="148"/>
      <c r="K191" s="70"/>
    </row>
    <row r="192">
      <c r="A192" s="235" t="s">
        <v>86</v>
      </c>
      <c r="B192" s="236">
        <v>1149510.0</v>
      </c>
      <c r="D192" s="60" t="s">
        <v>131</v>
      </c>
      <c r="E192" s="166">
        <f>B19+B68+B97+B164</f>
        <v>221618.12</v>
      </c>
      <c r="F192" s="70"/>
      <c r="G192" s="70"/>
      <c r="H192" s="129"/>
      <c r="I192" s="129"/>
      <c r="J192" s="70"/>
      <c r="K192" s="70"/>
    </row>
    <row r="193">
      <c r="A193" s="85" t="s">
        <v>87</v>
      </c>
      <c r="B193" s="86">
        <f>B192+B189+B188+B185</f>
        <v>11370091.81</v>
      </c>
      <c r="D193" s="60" t="s">
        <v>54</v>
      </c>
      <c r="E193" s="237">
        <f>B20+B21+B22+B23+B60+B66+B67+B92+B165</f>
        <v>588941.58</v>
      </c>
      <c r="F193" s="171"/>
      <c r="G193" s="129"/>
      <c r="H193" s="70"/>
      <c r="I193" s="70"/>
      <c r="J193" s="70"/>
      <c r="K193" s="70"/>
    </row>
    <row r="194">
      <c r="A194" s="87" t="s">
        <v>88</v>
      </c>
      <c r="B194" s="88">
        <f>B184-B193</f>
        <v>280631.4</v>
      </c>
      <c r="D194" s="60" t="s">
        <v>93</v>
      </c>
      <c r="E194" s="166">
        <f>B5+B7+B10+B11+B14+B18+B24+B25+B26+B27+B28+B29+B30+B31+B32+B33+B34+B61+B62+B63+B64+B65+B98+B99+B100+B101+B166+B167+B168+B169+B170</f>
        <v>1127863.9</v>
      </c>
      <c r="F194" s="172"/>
      <c r="G194" s="70"/>
      <c r="H194" s="70"/>
      <c r="I194" s="70"/>
      <c r="J194" s="70"/>
      <c r="K194" s="70"/>
    </row>
    <row r="195">
      <c r="A195" s="71" t="s">
        <v>89</v>
      </c>
      <c r="B195" s="89">
        <f>B194/B184</f>
        <v>0.02408703691</v>
      </c>
      <c r="D195" s="60" t="s">
        <v>94</v>
      </c>
      <c r="E195" s="70">
        <f>B95</f>
        <v>1488</v>
      </c>
      <c r="F195" s="172"/>
      <c r="G195" s="70"/>
      <c r="H195" s="70"/>
      <c r="I195" s="70"/>
      <c r="J195" s="70"/>
      <c r="K195" s="70"/>
    </row>
    <row r="196">
      <c r="E196" s="70"/>
      <c r="F196" s="172"/>
      <c r="G196" s="70"/>
      <c r="H196" s="70"/>
      <c r="I196" s="70"/>
      <c r="J196" s="70"/>
      <c r="K196" s="70"/>
    </row>
    <row r="197">
      <c r="E197" s="70"/>
      <c r="F197" s="172"/>
      <c r="G197" s="70"/>
      <c r="H197" s="70"/>
    </row>
    <row r="198">
      <c r="E198" s="129"/>
      <c r="F198" s="173"/>
      <c r="G198" s="129"/>
      <c r="H198" s="70"/>
    </row>
    <row r="199">
      <c r="E199" s="70"/>
      <c r="F199" s="70"/>
      <c r="G199" s="70"/>
      <c r="H199" s="70"/>
    </row>
    <row r="200">
      <c r="E200" s="70"/>
      <c r="F200" s="70"/>
      <c r="G200" s="70"/>
      <c r="H200" s="70"/>
    </row>
    <row r="201">
      <c r="E201" s="70"/>
      <c r="F201" s="70"/>
      <c r="G201" s="70"/>
      <c r="H201" s="70"/>
    </row>
    <row r="202">
      <c r="A202" s="139">
        <v>45870.0</v>
      </c>
      <c r="E202" s="70"/>
      <c r="F202" s="70"/>
      <c r="G202" s="70"/>
      <c r="H202" s="70"/>
    </row>
    <row r="203">
      <c r="A203" s="140" t="s">
        <v>122</v>
      </c>
      <c r="B203" s="140" t="s">
        <v>123</v>
      </c>
      <c r="C203" s="141" t="s">
        <v>159</v>
      </c>
      <c r="D203" s="141" t="s">
        <v>124</v>
      </c>
      <c r="E203" s="70"/>
      <c r="F203" s="70"/>
      <c r="G203" s="70"/>
      <c r="H203" s="70"/>
    </row>
    <row r="204">
      <c r="A204" s="142" t="s">
        <v>125</v>
      </c>
      <c r="B204" s="143">
        <f>B40</f>
        <v>6824691.27</v>
      </c>
      <c r="C204" s="238">
        <f>K35</f>
        <v>5741</v>
      </c>
      <c r="D204" s="144">
        <f t="shared" ref="D204:D209" si="82">C204/$C$210</f>
        <v>0.5007413868</v>
      </c>
      <c r="E204" s="70"/>
      <c r="F204" s="70"/>
      <c r="G204" s="70"/>
      <c r="H204" s="70"/>
    </row>
    <row r="205">
      <c r="A205" s="142" t="s">
        <v>48</v>
      </c>
      <c r="B205" s="143">
        <f>B72</f>
        <v>3145228.24</v>
      </c>
      <c r="C205" s="238">
        <f>I69</f>
        <v>3352</v>
      </c>
      <c r="D205" s="144">
        <f t="shared" si="82"/>
        <v>0.2923680768</v>
      </c>
      <c r="E205" s="70"/>
      <c r="F205" s="70"/>
      <c r="G205" s="70"/>
      <c r="H205" s="70"/>
    </row>
    <row r="206">
      <c r="A206" s="142" t="s">
        <v>70</v>
      </c>
      <c r="B206" s="143">
        <f>B122</f>
        <v>615636</v>
      </c>
      <c r="C206" s="238">
        <f>H122</f>
        <v>936</v>
      </c>
      <c r="D206" s="144">
        <f t="shared" si="82"/>
        <v>0.08163977322</v>
      </c>
      <c r="E206" s="70"/>
      <c r="F206" s="70"/>
      <c r="G206" s="70"/>
      <c r="H206" s="70"/>
    </row>
    <row r="207">
      <c r="A207" s="142" t="s">
        <v>76</v>
      </c>
      <c r="B207" s="143">
        <f>B142</f>
        <v>505973</v>
      </c>
      <c r="C207" s="238">
        <f>H142</f>
        <v>795</v>
      </c>
      <c r="D207" s="144">
        <f t="shared" si="82"/>
        <v>0.06934147405</v>
      </c>
    </row>
    <row r="208">
      <c r="A208" s="142" t="s">
        <v>78</v>
      </c>
      <c r="B208" s="143">
        <f>B173</f>
        <v>357080.7</v>
      </c>
      <c r="C208" s="238">
        <f>H171</f>
        <v>394</v>
      </c>
      <c r="D208" s="144">
        <f t="shared" si="82"/>
        <v>0.0343654601</v>
      </c>
      <c r="E208" s="70"/>
      <c r="F208" s="70"/>
      <c r="G208" s="70"/>
      <c r="H208" s="70"/>
    </row>
    <row r="209">
      <c r="A209" s="142" t="s">
        <v>64</v>
      </c>
      <c r="B209" s="143">
        <f>B102</f>
        <v>152114</v>
      </c>
      <c r="C209" s="238">
        <f>I102</f>
        <v>247</v>
      </c>
      <c r="D209" s="144">
        <f t="shared" si="82"/>
        <v>0.02154382904</v>
      </c>
    </row>
    <row r="210">
      <c r="A210" s="145" t="s">
        <v>38</v>
      </c>
      <c r="B210" s="146">
        <f t="shared" ref="B210:C210" si="83">SUM(B204:B209)</f>
        <v>11600723.21</v>
      </c>
      <c r="C210" s="239">
        <f t="shared" si="83"/>
        <v>11465</v>
      </c>
      <c r="D210" s="192">
        <v>1.0</v>
      </c>
    </row>
    <row r="215">
      <c r="A215" s="70"/>
      <c r="B215" s="70"/>
      <c r="C215" s="70"/>
      <c r="D215" s="70"/>
    </row>
    <row r="216">
      <c r="A216" s="90" t="s">
        <v>90</v>
      </c>
      <c r="B216" s="193" t="s">
        <v>144</v>
      </c>
      <c r="C216" s="70"/>
      <c r="D216" s="70"/>
    </row>
    <row r="217">
      <c r="A217" s="92" t="s">
        <v>91</v>
      </c>
      <c r="B217" s="93">
        <f>SUM(B218:B224)</f>
        <v>11465</v>
      </c>
      <c r="C217" s="70"/>
      <c r="D217" s="70"/>
    </row>
    <row r="218">
      <c r="A218" s="28" t="s">
        <v>92</v>
      </c>
      <c r="B218" s="27">
        <f>B39</f>
        <v>5741</v>
      </c>
      <c r="C218" s="129"/>
      <c r="D218" s="70"/>
    </row>
    <row r="219">
      <c r="A219" s="28" t="s">
        <v>48</v>
      </c>
      <c r="B219" s="27">
        <f>I69</f>
        <v>3352</v>
      </c>
      <c r="C219" s="148"/>
      <c r="D219" s="70"/>
    </row>
    <row r="220">
      <c r="A220" s="28" t="s">
        <v>64</v>
      </c>
      <c r="B220" s="27">
        <f>I102</f>
        <v>247</v>
      </c>
      <c r="C220" s="148"/>
      <c r="D220" s="70"/>
    </row>
    <row r="221">
      <c r="A221" s="28" t="s">
        <v>70</v>
      </c>
      <c r="B221" s="27">
        <f>H122</f>
        <v>936</v>
      </c>
      <c r="C221" s="148"/>
      <c r="D221" s="70"/>
    </row>
    <row r="222">
      <c r="A222" s="28" t="s">
        <v>76</v>
      </c>
      <c r="B222" s="27">
        <f>H142</f>
        <v>795</v>
      </c>
      <c r="C222" s="148"/>
      <c r="D222" s="70"/>
    </row>
    <row r="223">
      <c r="A223" s="28" t="s">
        <v>95</v>
      </c>
      <c r="B223" s="27">
        <f>H171</f>
        <v>394</v>
      </c>
      <c r="C223" s="148"/>
      <c r="D223" s="70"/>
    </row>
    <row r="224">
      <c r="A224" s="28" t="s">
        <v>96</v>
      </c>
      <c r="B224" s="28" t="str">
        <f>H176</f>
        <v/>
      </c>
      <c r="C224" s="148"/>
      <c r="D224" s="70"/>
    </row>
    <row r="225">
      <c r="A225" s="92" t="s">
        <v>97</v>
      </c>
      <c r="B225" s="94">
        <f>SUM(B226:B232)</f>
        <v>11600723.21</v>
      </c>
      <c r="C225" s="148"/>
      <c r="D225" s="70"/>
    </row>
    <row r="226">
      <c r="A226" s="28" t="s">
        <v>92</v>
      </c>
      <c r="B226" s="95">
        <f>B40</f>
        <v>6824691.27</v>
      </c>
      <c r="C226" s="148"/>
      <c r="D226" s="70"/>
    </row>
    <row r="227">
      <c r="A227" s="28" t="s">
        <v>48</v>
      </c>
      <c r="B227" s="95">
        <f>B72</f>
        <v>3145228.24</v>
      </c>
      <c r="C227" s="149"/>
      <c r="D227" s="70"/>
    </row>
    <row r="228">
      <c r="A228" s="28" t="s">
        <v>64</v>
      </c>
      <c r="B228" s="95">
        <f>B105</f>
        <v>152114</v>
      </c>
      <c r="C228" s="70"/>
      <c r="D228" s="70"/>
    </row>
    <row r="229">
      <c r="A229" s="28" t="s">
        <v>70</v>
      </c>
      <c r="B229" s="95">
        <f>B122</f>
        <v>615636</v>
      </c>
      <c r="C229" s="70"/>
      <c r="D229" s="70"/>
    </row>
    <row r="230">
      <c r="A230" s="28" t="s">
        <v>76</v>
      </c>
      <c r="B230" s="95">
        <f>B144</f>
        <v>505973</v>
      </c>
      <c r="C230" s="70"/>
      <c r="D230" s="70"/>
    </row>
    <row r="231">
      <c r="A231" s="28" t="s">
        <v>95</v>
      </c>
      <c r="B231" s="95">
        <f>B173</f>
        <v>357080.7</v>
      </c>
      <c r="C231" s="70"/>
      <c r="D231" s="70"/>
    </row>
    <row r="232">
      <c r="A232" s="28" t="s">
        <v>96</v>
      </c>
      <c r="B232" s="95"/>
    </row>
    <row r="233">
      <c r="A233" s="92" t="s">
        <v>98</v>
      </c>
      <c r="B233" s="94">
        <f>SUM(B234:B240)</f>
        <v>10357788.58</v>
      </c>
    </row>
    <row r="234">
      <c r="A234" s="28" t="s">
        <v>92</v>
      </c>
      <c r="B234" s="95">
        <f t="shared" ref="B234:B239" si="84">B226/1.12</f>
        <v>6093474.348</v>
      </c>
    </row>
    <row r="235">
      <c r="A235" s="28" t="s">
        <v>48</v>
      </c>
      <c r="B235" s="95">
        <f t="shared" si="84"/>
        <v>2808239.5</v>
      </c>
    </row>
    <row r="236">
      <c r="A236" s="28" t="s">
        <v>64</v>
      </c>
      <c r="B236" s="95">
        <f t="shared" si="84"/>
        <v>135816.0714</v>
      </c>
    </row>
    <row r="237">
      <c r="A237" s="28" t="s">
        <v>70</v>
      </c>
      <c r="B237" s="95">
        <f t="shared" si="84"/>
        <v>549675</v>
      </c>
    </row>
    <row r="238">
      <c r="A238" s="28" t="s">
        <v>76</v>
      </c>
      <c r="B238" s="95">
        <f t="shared" si="84"/>
        <v>451761.6071</v>
      </c>
    </row>
    <row r="239">
      <c r="A239" s="28" t="s">
        <v>95</v>
      </c>
      <c r="B239" s="95">
        <f t="shared" si="84"/>
        <v>318822.0536</v>
      </c>
    </row>
    <row r="240">
      <c r="A240" s="28" t="s">
        <v>96</v>
      </c>
      <c r="B240" s="28"/>
    </row>
    <row r="241">
      <c r="A241" s="90" t="s">
        <v>41</v>
      </c>
      <c r="B241" s="96">
        <f>B185/1.18</f>
        <v>3351990.678</v>
      </c>
    </row>
    <row r="242">
      <c r="A242" s="90" t="s">
        <v>80</v>
      </c>
      <c r="B242" s="97">
        <f>B233-B241</f>
        <v>7005797.902</v>
      </c>
    </row>
    <row r="243">
      <c r="A243" s="92" t="s">
        <v>99</v>
      </c>
      <c r="B243" s="98">
        <f>B242/B233</f>
        <v>0.6763796971</v>
      </c>
    </row>
    <row r="244">
      <c r="A244" s="99" t="s">
        <v>100</v>
      </c>
      <c r="B244" s="100">
        <f>B42+B75+B127+B146</f>
        <v>863004</v>
      </c>
    </row>
    <row r="245">
      <c r="A245" s="99" t="s">
        <v>101</v>
      </c>
      <c r="B245" s="100">
        <f>B74</f>
        <v>348800</v>
      </c>
    </row>
    <row r="246">
      <c r="A246" s="101" t="s">
        <v>102</v>
      </c>
      <c r="B246" s="95">
        <f>B242-(B244+B245)</f>
        <v>5793993.902</v>
      </c>
    </row>
    <row r="247">
      <c r="A247" s="92" t="s">
        <v>103</v>
      </c>
      <c r="B247" s="98">
        <f>B246/B233</f>
        <v>0.5593852257</v>
      </c>
    </row>
    <row r="248">
      <c r="A248" s="28" t="s">
        <v>104</v>
      </c>
      <c r="B248" s="95">
        <f>B189/1.18</f>
        <v>4260762.373</v>
      </c>
    </row>
    <row r="249">
      <c r="A249" s="101" t="s">
        <v>105</v>
      </c>
      <c r="B249" s="95">
        <f>B246-B248</f>
        <v>1533231.53</v>
      </c>
    </row>
    <row r="250">
      <c r="A250" s="92" t="s">
        <v>106</v>
      </c>
      <c r="B250" s="102">
        <f>B249/B233</f>
        <v>0.1480269188</v>
      </c>
    </row>
    <row r="251">
      <c r="A251" s="28" t="s">
        <v>107</v>
      </c>
      <c r="B251" s="28">
        <v>650000.0</v>
      </c>
    </row>
    <row r="252">
      <c r="A252" s="28" t="s">
        <v>108</v>
      </c>
      <c r="B252" s="28">
        <v>420000.0</v>
      </c>
    </row>
    <row r="253">
      <c r="A253" s="28" t="s">
        <v>109</v>
      </c>
      <c r="B253" s="28">
        <v>70000.0</v>
      </c>
    </row>
    <row r="254">
      <c r="A254" s="28" t="s">
        <v>110</v>
      </c>
      <c r="B254" s="28">
        <v>18000.0</v>
      </c>
    </row>
    <row r="255">
      <c r="A255" s="28" t="s">
        <v>111</v>
      </c>
      <c r="B255" s="28">
        <v>95000.0</v>
      </c>
    </row>
    <row r="256">
      <c r="A256" s="101" t="s">
        <v>112</v>
      </c>
      <c r="B256" s="95">
        <f>B249-SUM(B251:B255)</f>
        <v>280231.5295</v>
      </c>
    </row>
    <row r="257">
      <c r="A257" s="92" t="s">
        <v>113</v>
      </c>
      <c r="B257" s="102">
        <f>B256/B233</f>
        <v>0.02705515056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3.63"/>
    <col customWidth="1" min="5" max="5" width="12.88"/>
    <col customWidth="1" min="9" max="9" width="14.63"/>
    <col customWidth="1" min="14" max="14" width="13.75"/>
    <col customWidth="1" min="16" max="16" width="15.13"/>
    <col customWidth="1" min="17" max="17" width="11.38"/>
  </cols>
  <sheetData>
    <row r="1">
      <c r="A1" s="1" t="s">
        <v>160</v>
      </c>
      <c r="B1" s="19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9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>
      <c r="A3" s="5" t="s">
        <v>2</v>
      </c>
      <c r="B3" s="196" t="s">
        <v>128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</row>
    <row r="4">
      <c r="A4" s="5" t="s">
        <v>21</v>
      </c>
      <c r="B4" s="197">
        <v>1060146.8</v>
      </c>
      <c r="C4" s="9">
        <f t="shared" ref="C4:C11" si="1">G4+J4+L4</f>
        <v>443851</v>
      </c>
      <c r="D4" s="240"/>
      <c r="E4" s="11">
        <f t="shared" ref="E4:E11" si="2">D4/B4*100</f>
        <v>0</v>
      </c>
      <c r="F4" s="12">
        <f t="shared" ref="F4:F11" si="3">D4/K4</f>
        <v>0</v>
      </c>
      <c r="G4" s="13"/>
      <c r="H4" s="8">
        <v>1666.0</v>
      </c>
      <c r="I4" s="8">
        <v>1607.0</v>
      </c>
      <c r="J4" s="14">
        <f t="shared" ref="J4:J11" si="4">K4*T4</f>
        <v>294400</v>
      </c>
      <c r="K4" s="8">
        <v>1472.0</v>
      </c>
      <c r="L4" s="15">
        <f t="shared" ref="L4:L34" si="5">I4*93</f>
        <v>149451</v>
      </c>
      <c r="M4" s="16">
        <f t="shared" ref="M4:M34" si="6">I4-K4-N4</f>
        <v>101</v>
      </c>
      <c r="N4" s="8">
        <v>34.0</v>
      </c>
      <c r="O4" s="17">
        <f t="shared" ref="O4:O10" si="7">M4/I4*100</f>
        <v>6.285003111</v>
      </c>
      <c r="P4" s="18">
        <f t="shared" ref="P4:P19" si="8">I4/H4*100</f>
        <v>96.45858343</v>
      </c>
      <c r="Q4" s="19">
        <f t="shared" ref="Q4:Q19" si="9">K4/I4*100</f>
        <v>91.59925327</v>
      </c>
      <c r="R4" s="12">
        <f t="shared" ref="R4:R11" si="10">G4/K4</f>
        <v>0</v>
      </c>
      <c r="S4" s="198">
        <f t="shared" ref="S4:S7" si="11">(I4-H4)/H4</f>
        <v>-0.03541416567</v>
      </c>
      <c r="T4" s="65">
        <v>200.0</v>
      </c>
      <c r="U4" s="3"/>
      <c r="V4" s="3"/>
      <c r="W4" s="241"/>
      <c r="X4" s="242"/>
      <c r="Y4" s="3"/>
      <c r="Z4" s="3"/>
    </row>
    <row r="5">
      <c r="A5" s="5" t="s">
        <v>22</v>
      </c>
      <c r="B5" s="197">
        <v>89095.37</v>
      </c>
      <c r="C5" s="9">
        <f t="shared" si="1"/>
        <v>33765</v>
      </c>
      <c r="D5" s="240"/>
      <c r="E5" s="11">
        <f t="shared" si="2"/>
        <v>0</v>
      </c>
      <c r="F5" s="12">
        <f t="shared" si="3"/>
        <v>0</v>
      </c>
      <c r="G5" s="13"/>
      <c r="H5" s="8">
        <v>69.0</v>
      </c>
      <c r="I5" s="8">
        <v>65.0</v>
      </c>
      <c r="J5" s="14">
        <f t="shared" si="4"/>
        <v>27720</v>
      </c>
      <c r="K5" s="8">
        <v>63.0</v>
      </c>
      <c r="L5" s="15">
        <f t="shared" si="5"/>
        <v>6045</v>
      </c>
      <c r="M5" s="16">
        <f t="shared" si="6"/>
        <v>2</v>
      </c>
      <c r="N5" s="13"/>
      <c r="O5" s="17">
        <f t="shared" si="7"/>
        <v>3.076923077</v>
      </c>
      <c r="P5" s="18">
        <f t="shared" si="8"/>
        <v>94.20289855</v>
      </c>
      <c r="Q5" s="19">
        <f t="shared" si="9"/>
        <v>96.92307692</v>
      </c>
      <c r="R5" s="12">
        <f t="shared" si="10"/>
        <v>0</v>
      </c>
      <c r="S5" s="198">
        <f t="shared" si="11"/>
        <v>-0.05797101449</v>
      </c>
      <c r="T5" s="65">
        <v>440.0</v>
      </c>
      <c r="U5" s="3"/>
      <c r="V5" s="3"/>
      <c r="W5" s="156"/>
      <c r="X5" s="41"/>
      <c r="Y5" s="3"/>
      <c r="Z5" s="3"/>
    </row>
    <row r="6">
      <c r="A6" s="5" t="s">
        <v>23</v>
      </c>
      <c r="B6" s="197">
        <v>1349666.87</v>
      </c>
      <c r="C6" s="21">
        <f t="shared" si="1"/>
        <v>500050</v>
      </c>
      <c r="D6" s="243"/>
      <c r="E6" s="11">
        <f t="shared" si="2"/>
        <v>0</v>
      </c>
      <c r="F6" s="12">
        <f t="shared" si="3"/>
        <v>0</v>
      </c>
      <c r="G6" s="23"/>
      <c r="H6" s="8">
        <v>1464.0</v>
      </c>
      <c r="I6" s="8">
        <v>1402.0</v>
      </c>
      <c r="J6" s="14">
        <f t="shared" si="4"/>
        <v>369664</v>
      </c>
      <c r="K6" s="8">
        <v>1216.0</v>
      </c>
      <c r="L6" s="15">
        <f t="shared" si="5"/>
        <v>130386</v>
      </c>
      <c r="M6" s="16">
        <f t="shared" si="6"/>
        <v>177</v>
      </c>
      <c r="N6" s="8">
        <v>9.0</v>
      </c>
      <c r="O6" s="17">
        <f t="shared" si="7"/>
        <v>12.62482168</v>
      </c>
      <c r="P6" s="18">
        <f t="shared" si="8"/>
        <v>95.76502732</v>
      </c>
      <c r="Q6" s="19">
        <f t="shared" si="9"/>
        <v>86.73323823</v>
      </c>
      <c r="R6" s="12">
        <f t="shared" si="10"/>
        <v>0</v>
      </c>
      <c r="S6" s="198">
        <f t="shared" si="11"/>
        <v>-0.04234972678</v>
      </c>
      <c r="T6" s="65">
        <v>304.0</v>
      </c>
      <c r="U6" s="3"/>
      <c r="V6" s="3"/>
      <c r="W6" s="156"/>
      <c r="X6" s="41"/>
      <c r="Y6" s="3"/>
      <c r="Z6" s="3"/>
    </row>
    <row r="7">
      <c r="A7" s="5" t="s">
        <v>24</v>
      </c>
      <c r="B7" s="197">
        <v>78984.77</v>
      </c>
      <c r="C7" s="21">
        <f t="shared" si="1"/>
        <v>30000</v>
      </c>
      <c r="D7" s="243"/>
      <c r="E7" s="11">
        <f t="shared" si="2"/>
        <v>0</v>
      </c>
      <c r="F7" s="12">
        <f t="shared" si="3"/>
        <v>0</v>
      </c>
      <c r="G7" s="23"/>
      <c r="H7" s="8">
        <v>50.0</v>
      </c>
      <c r="I7" s="8">
        <v>48.0</v>
      </c>
      <c r="J7" s="14">
        <f t="shared" si="4"/>
        <v>25536</v>
      </c>
      <c r="K7" s="8">
        <v>42.0</v>
      </c>
      <c r="L7" s="15">
        <f t="shared" si="5"/>
        <v>4464</v>
      </c>
      <c r="M7" s="16">
        <f t="shared" si="6"/>
        <v>6</v>
      </c>
      <c r="N7" s="13"/>
      <c r="O7" s="17">
        <f t="shared" si="7"/>
        <v>12.5</v>
      </c>
      <c r="P7" s="18">
        <f t="shared" si="8"/>
        <v>96</v>
      </c>
      <c r="Q7" s="19">
        <f t="shared" si="9"/>
        <v>87.5</v>
      </c>
      <c r="R7" s="12">
        <f t="shared" si="10"/>
        <v>0</v>
      </c>
      <c r="S7" s="198">
        <f t="shared" si="11"/>
        <v>-0.04</v>
      </c>
      <c r="T7" s="65">
        <v>608.0</v>
      </c>
      <c r="U7" s="3"/>
      <c r="V7" s="3"/>
      <c r="W7" s="156"/>
      <c r="X7" s="41"/>
      <c r="Y7" s="3"/>
      <c r="Z7" s="3"/>
    </row>
    <row r="8">
      <c r="A8" s="5" t="s">
        <v>25</v>
      </c>
      <c r="B8" s="197">
        <v>57975.83</v>
      </c>
      <c r="C8" s="9">
        <f t="shared" si="1"/>
        <v>27180</v>
      </c>
      <c r="D8" s="240"/>
      <c r="E8" s="11">
        <f t="shared" si="2"/>
        <v>0</v>
      </c>
      <c r="F8" s="12">
        <f t="shared" si="3"/>
        <v>0</v>
      </c>
      <c r="G8" s="13"/>
      <c r="H8" s="8">
        <v>36.0</v>
      </c>
      <c r="I8" s="8">
        <v>36.0</v>
      </c>
      <c r="J8" s="14">
        <f t="shared" si="4"/>
        <v>23832</v>
      </c>
      <c r="K8" s="8">
        <v>36.0</v>
      </c>
      <c r="L8" s="15">
        <f t="shared" si="5"/>
        <v>3348</v>
      </c>
      <c r="M8" s="16">
        <f t="shared" si="6"/>
        <v>0</v>
      </c>
      <c r="N8" s="13"/>
      <c r="O8" s="17">
        <f t="shared" si="7"/>
        <v>0</v>
      </c>
      <c r="P8" s="18">
        <f t="shared" si="8"/>
        <v>100</v>
      </c>
      <c r="Q8" s="19">
        <f t="shared" si="9"/>
        <v>100</v>
      </c>
      <c r="R8" s="12">
        <f t="shared" si="10"/>
        <v>0</v>
      </c>
      <c r="S8" s="198"/>
      <c r="T8" s="65">
        <v>662.0</v>
      </c>
      <c r="U8" s="3"/>
      <c r="V8" s="3"/>
      <c r="W8" s="156"/>
      <c r="X8" s="41"/>
      <c r="Y8" s="3"/>
      <c r="Z8" s="3"/>
    </row>
    <row r="9">
      <c r="A9" s="5" t="s">
        <v>26</v>
      </c>
      <c r="B9" s="197">
        <v>85165.2</v>
      </c>
      <c r="C9" s="9">
        <f t="shared" si="1"/>
        <v>43964</v>
      </c>
      <c r="D9" s="240"/>
      <c r="E9" s="11">
        <f t="shared" si="2"/>
        <v>0</v>
      </c>
      <c r="F9" s="12">
        <f t="shared" si="3"/>
        <v>0</v>
      </c>
      <c r="G9" s="13"/>
      <c r="H9" s="8">
        <v>179.0</v>
      </c>
      <c r="I9" s="8">
        <v>172.0</v>
      </c>
      <c r="J9" s="14">
        <f t="shared" si="4"/>
        <v>27968</v>
      </c>
      <c r="K9" s="8">
        <v>152.0</v>
      </c>
      <c r="L9" s="15">
        <f t="shared" si="5"/>
        <v>15996</v>
      </c>
      <c r="M9" s="16">
        <f t="shared" si="6"/>
        <v>20</v>
      </c>
      <c r="N9" s="13"/>
      <c r="O9" s="17">
        <f t="shared" si="7"/>
        <v>11.62790698</v>
      </c>
      <c r="P9" s="18">
        <f t="shared" si="8"/>
        <v>96.08938547</v>
      </c>
      <c r="Q9" s="19">
        <f t="shared" si="9"/>
        <v>88.37209302</v>
      </c>
      <c r="R9" s="12">
        <f t="shared" si="10"/>
        <v>0</v>
      </c>
      <c r="S9" s="198">
        <f t="shared" ref="S9:S10" si="12">(I9-H9)/H9</f>
        <v>-0.03910614525</v>
      </c>
      <c r="T9" s="65">
        <v>184.0</v>
      </c>
      <c r="U9" s="3"/>
      <c r="V9" s="3"/>
      <c r="W9" s="156"/>
      <c r="X9" s="41"/>
      <c r="Y9" s="3"/>
      <c r="Z9" s="3"/>
    </row>
    <row r="10">
      <c r="A10" s="5" t="s">
        <v>27</v>
      </c>
      <c r="B10" s="197">
        <v>22692.4</v>
      </c>
      <c r="C10" s="9">
        <f t="shared" si="1"/>
        <v>11343</v>
      </c>
      <c r="D10" s="240"/>
      <c r="E10" s="11">
        <f t="shared" si="2"/>
        <v>0</v>
      </c>
      <c r="F10" s="12">
        <f t="shared" si="3"/>
        <v>0</v>
      </c>
      <c r="G10" s="13"/>
      <c r="H10" s="8">
        <v>28.0</v>
      </c>
      <c r="I10" s="8">
        <v>27.0</v>
      </c>
      <c r="J10" s="14">
        <f t="shared" si="4"/>
        <v>8832</v>
      </c>
      <c r="K10" s="8">
        <v>24.0</v>
      </c>
      <c r="L10" s="15">
        <f t="shared" si="5"/>
        <v>2511</v>
      </c>
      <c r="M10" s="16">
        <f t="shared" si="6"/>
        <v>3</v>
      </c>
      <c r="N10" s="13"/>
      <c r="O10" s="17">
        <f t="shared" si="7"/>
        <v>11.11111111</v>
      </c>
      <c r="P10" s="18">
        <f t="shared" si="8"/>
        <v>96.42857143</v>
      </c>
      <c r="Q10" s="19">
        <f t="shared" si="9"/>
        <v>88.88888889</v>
      </c>
      <c r="R10" s="12">
        <f t="shared" si="10"/>
        <v>0</v>
      </c>
      <c r="S10" s="198">
        <f t="shared" si="12"/>
        <v>-0.03571428571</v>
      </c>
      <c r="T10" s="65">
        <v>368.0</v>
      </c>
      <c r="U10" s="3"/>
      <c r="V10" s="3"/>
      <c r="W10" s="156"/>
      <c r="X10" s="41"/>
      <c r="Y10" s="3"/>
      <c r="Z10" s="3"/>
    </row>
    <row r="11">
      <c r="A11" s="5" t="s">
        <v>154</v>
      </c>
      <c r="B11" s="197">
        <v>0.0</v>
      </c>
      <c r="C11" s="9">
        <f t="shared" si="1"/>
        <v>0</v>
      </c>
      <c r="D11" s="240"/>
      <c r="E11" s="11" t="str">
        <f t="shared" si="2"/>
        <v>#DIV/0!</v>
      </c>
      <c r="F11" s="12" t="str">
        <f t="shared" si="3"/>
        <v>#DIV/0!</v>
      </c>
      <c r="G11" s="13"/>
      <c r="H11" s="8">
        <v>0.0</v>
      </c>
      <c r="I11" s="8">
        <v>0.0</v>
      </c>
      <c r="J11" s="14">
        <f t="shared" si="4"/>
        <v>0</v>
      </c>
      <c r="K11" s="8">
        <v>0.0</v>
      </c>
      <c r="L11" s="15">
        <f t="shared" si="5"/>
        <v>0</v>
      </c>
      <c r="M11" s="16">
        <f t="shared" si="6"/>
        <v>0</v>
      </c>
      <c r="N11" s="13"/>
      <c r="O11" s="17">
        <v>0.0</v>
      </c>
      <c r="P11" s="18" t="str">
        <f t="shared" si="8"/>
        <v>#DIV/0!</v>
      </c>
      <c r="Q11" s="19" t="str">
        <f t="shared" si="9"/>
        <v>#DIV/0!</v>
      </c>
      <c r="R11" s="12" t="str">
        <f t="shared" si="10"/>
        <v>#DIV/0!</v>
      </c>
      <c r="S11" s="198"/>
      <c r="T11" s="65">
        <v>368.0</v>
      </c>
      <c r="U11" s="3"/>
      <c r="V11" s="3"/>
      <c r="W11" s="156"/>
      <c r="X11" s="3"/>
      <c r="Y11" s="3"/>
      <c r="Z11" s="3"/>
    </row>
    <row r="12">
      <c r="A12" s="5" t="s">
        <v>28</v>
      </c>
      <c r="B12" s="197">
        <v>0.0</v>
      </c>
      <c r="C12" s="9">
        <v>0.0</v>
      </c>
      <c r="D12" s="240"/>
      <c r="E12" s="11">
        <v>0.0</v>
      </c>
      <c r="F12" s="12">
        <v>0.0</v>
      </c>
      <c r="G12" s="13"/>
      <c r="H12" s="8">
        <v>0.0</v>
      </c>
      <c r="I12" s="8">
        <v>0.0</v>
      </c>
      <c r="J12" s="14">
        <v>0.0</v>
      </c>
      <c r="K12" s="8">
        <v>0.0</v>
      </c>
      <c r="L12" s="15">
        <f t="shared" si="5"/>
        <v>0</v>
      </c>
      <c r="M12" s="16">
        <f t="shared" si="6"/>
        <v>0</v>
      </c>
      <c r="N12" s="13"/>
      <c r="O12" s="17">
        <v>0.0</v>
      </c>
      <c r="P12" s="18" t="str">
        <f t="shared" si="8"/>
        <v>#DIV/0!</v>
      </c>
      <c r="Q12" s="19" t="str">
        <f t="shared" si="9"/>
        <v>#DIV/0!</v>
      </c>
      <c r="R12" s="155"/>
      <c r="S12" s="198"/>
      <c r="T12" s="65">
        <v>206.0</v>
      </c>
      <c r="U12" s="3"/>
      <c r="V12" s="3"/>
      <c r="W12" s="156"/>
      <c r="X12" s="41"/>
      <c r="Y12" s="3"/>
      <c r="Z12" s="3"/>
    </row>
    <row r="13">
      <c r="A13" s="5" t="s">
        <v>29</v>
      </c>
      <c r="B13" s="197">
        <v>906942.62</v>
      </c>
      <c r="C13" s="9">
        <f t="shared" ref="C13:C15" si="13">G13+J13+L13</f>
        <v>330972</v>
      </c>
      <c r="D13" s="240"/>
      <c r="E13" s="11">
        <f t="shared" ref="E13:E19" si="14">D13/B13*100</f>
        <v>0</v>
      </c>
      <c r="F13" s="12">
        <f t="shared" ref="F13:F15" si="15">D13/K13</f>
        <v>0</v>
      </c>
      <c r="G13" s="13"/>
      <c r="H13" s="8">
        <v>935.0</v>
      </c>
      <c r="I13" s="8">
        <v>916.0</v>
      </c>
      <c r="J13" s="14">
        <f t="shared" ref="J13:J34" si="16">K13*T13</f>
        <v>245784</v>
      </c>
      <c r="K13" s="8">
        <v>798.0</v>
      </c>
      <c r="L13" s="15">
        <f t="shared" si="5"/>
        <v>85188</v>
      </c>
      <c r="M13" s="16">
        <f t="shared" si="6"/>
        <v>114</v>
      </c>
      <c r="N13" s="8">
        <v>4.0</v>
      </c>
      <c r="O13" s="17">
        <f t="shared" ref="O13:O19" si="17">M13/I13*100</f>
        <v>12.44541485</v>
      </c>
      <c r="P13" s="18">
        <f t="shared" si="8"/>
        <v>97.96791444</v>
      </c>
      <c r="Q13" s="19">
        <f t="shared" si="9"/>
        <v>87.11790393</v>
      </c>
      <c r="R13" s="12">
        <f t="shared" ref="R13:R15" si="18">G13/K13</f>
        <v>0</v>
      </c>
      <c r="S13" s="198">
        <f t="shared" ref="S13:S19" si="19">(I13-H13)/H13</f>
        <v>-0.02032085561</v>
      </c>
      <c r="T13" s="65">
        <v>308.0</v>
      </c>
      <c r="U13" s="3"/>
      <c r="V13" s="3"/>
      <c r="W13" s="156"/>
      <c r="X13" s="41"/>
      <c r="Y13" s="3"/>
      <c r="Z13" s="3"/>
    </row>
    <row r="14">
      <c r="A14" s="5" t="s">
        <v>30</v>
      </c>
      <c r="B14" s="197">
        <v>81089.61</v>
      </c>
      <c r="C14" s="21">
        <f t="shared" si="13"/>
        <v>31754</v>
      </c>
      <c r="D14" s="243"/>
      <c r="E14" s="11">
        <f t="shared" si="14"/>
        <v>0</v>
      </c>
      <c r="F14" s="12">
        <f t="shared" si="15"/>
        <v>0</v>
      </c>
      <c r="G14" s="23"/>
      <c r="H14" s="8">
        <v>51.0</v>
      </c>
      <c r="I14" s="8">
        <v>50.0</v>
      </c>
      <c r="J14" s="14">
        <f t="shared" si="16"/>
        <v>27104</v>
      </c>
      <c r="K14" s="8">
        <v>44.0</v>
      </c>
      <c r="L14" s="15">
        <f t="shared" si="5"/>
        <v>4650</v>
      </c>
      <c r="M14" s="16">
        <f t="shared" si="6"/>
        <v>6</v>
      </c>
      <c r="N14" s="13"/>
      <c r="O14" s="17">
        <f t="shared" si="17"/>
        <v>12</v>
      </c>
      <c r="P14" s="18">
        <f t="shared" si="8"/>
        <v>98.03921569</v>
      </c>
      <c r="Q14" s="19">
        <f t="shared" si="9"/>
        <v>88</v>
      </c>
      <c r="R14" s="12">
        <f t="shared" si="18"/>
        <v>0</v>
      </c>
      <c r="S14" s="198">
        <f t="shared" si="19"/>
        <v>-0.01960784314</v>
      </c>
      <c r="T14" s="65">
        <v>616.0</v>
      </c>
      <c r="U14" s="3"/>
      <c r="V14" s="3"/>
      <c r="W14" s="156"/>
      <c r="X14" s="41"/>
      <c r="Y14" s="3"/>
      <c r="Z14" s="3"/>
    </row>
    <row r="15">
      <c r="A15" s="5" t="s">
        <v>31</v>
      </c>
      <c r="B15" s="197">
        <v>0.0</v>
      </c>
      <c r="C15" s="21">
        <f t="shared" si="13"/>
        <v>12672</v>
      </c>
      <c r="D15" s="243"/>
      <c r="E15" s="11" t="str">
        <f t="shared" si="14"/>
        <v>#DIV/0!</v>
      </c>
      <c r="F15" s="12">
        <f t="shared" si="15"/>
        <v>0</v>
      </c>
      <c r="G15" s="23"/>
      <c r="H15" s="8">
        <v>29.0</v>
      </c>
      <c r="I15" s="8">
        <v>24.0</v>
      </c>
      <c r="J15" s="14">
        <f t="shared" si="16"/>
        <v>10440</v>
      </c>
      <c r="K15" s="8">
        <v>24.0</v>
      </c>
      <c r="L15" s="15">
        <f t="shared" si="5"/>
        <v>2232</v>
      </c>
      <c r="M15" s="16">
        <f t="shared" si="6"/>
        <v>0</v>
      </c>
      <c r="N15" s="13"/>
      <c r="O15" s="17">
        <f t="shared" si="17"/>
        <v>0</v>
      </c>
      <c r="P15" s="18">
        <f t="shared" si="8"/>
        <v>82.75862069</v>
      </c>
      <c r="Q15" s="19">
        <f t="shared" si="9"/>
        <v>100</v>
      </c>
      <c r="R15" s="12">
        <f t="shared" si="18"/>
        <v>0</v>
      </c>
      <c r="S15" s="198">
        <f t="shared" si="19"/>
        <v>-0.1724137931</v>
      </c>
      <c r="T15" s="65">
        <v>435.0</v>
      </c>
      <c r="U15" s="3"/>
      <c r="V15" s="3"/>
      <c r="W15" s="156"/>
      <c r="X15" s="41"/>
      <c r="Y15" s="3"/>
      <c r="Z15" s="3"/>
    </row>
    <row r="16">
      <c r="A16" s="5" t="s">
        <v>32</v>
      </c>
      <c r="B16" s="197">
        <v>49925.76</v>
      </c>
      <c r="C16" s="21">
        <v>0.0</v>
      </c>
      <c r="D16" s="243"/>
      <c r="E16" s="11">
        <f t="shared" si="14"/>
        <v>0</v>
      </c>
      <c r="F16" s="12">
        <v>0.0</v>
      </c>
      <c r="G16" s="23"/>
      <c r="H16" s="8">
        <v>45.0</v>
      </c>
      <c r="I16" s="8">
        <v>34.0</v>
      </c>
      <c r="J16" s="14">
        <f t="shared" si="16"/>
        <v>20970</v>
      </c>
      <c r="K16" s="8">
        <v>30.0</v>
      </c>
      <c r="L16" s="15">
        <f t="shared" si="5"/>
        <v>3162</v>
      </c>
      <c r="M16" s="16">
        <f t="shared" si="6"/>
        <v>4</v>
      </c>
      <c r="N16" s="13"/>
      <c r="O16" s="17">
        <f t="shared" si="17"/>
        <v>11.76470588</v>
      </c>
      <c r="P16" s="18">
        <f t="shared" si="8"/>
        <v>75.55555556</v>
      </c>
      <c r="Q16" s="19">
        <f t="shared" si="9"/>
        <v>88.23529412</v>
      </c>
      <c r="R16" s="155"/>
      <c r="S16" s="198">
        <f t="shared" si="19"/>
        <v>-0.2444444444</v>
      </c>
      <c r="T16" s="65">
        <v>699.0</v>
      </c>
      <c r="U16" s="3"/>
      <c r="V16" s="3"/>
      <c r="W16" s="156"/>
      <c r="X16" s="3"/>
      <c r="Y16" s="3"/>
      <c r="Z16" s="3"/>
    </row>
    <row r="17">
      <c r="A17" s="5" t="s">
        <v>33</v>
      </c>
      <c r="B17" s="197">
        <v>1351112.51</v>
      </c>
      <c r="C17" s="21">
        <f t="shared" ref="C17:C19" si="20">G17+J17+L17</f>
        <v>653071</v>
      </c>
      <c r="D17" s="243"/>
      <c r="E17" s="11">
        <f t="shared" si="14"/>
        <v>0</v>
      </c>
      <c r="F17" s="12">
        <f t="shared" ref="F17:F19" si="21">D17/K17</f>
        <v>0</v>
      </c>
      <c r="G17" s="23"/>
      <c r="H17" s="8">
        <v>858.0</v>
      </c>
      <c r="I17" s="8">
        <v>815.0</v>
      </c>
      <c r="J17" s="14">
        <f t="shared" si="16"/>
        <v>577276</v>
      </c>
      <c r="K17" s="8">
        <v>742.0</v>
      </c>
      <c r="L17" s="15">
        <f t="shared" si="5"/>
        <v>75795</v>
      </c>
      <c r="M17" s="16">
        <f t="shared" si="6"/>
        <v>71</v>
      </c>
      <c r="N17" s="8">
        <v>2.0</v>
      </c>
      <c r="O17" s="17">
        <f t="shared" si="17"/>
        <v>8.711656442</v>
      </c>
      <c r="P17" s="18">
        <f t="shared" si="8"/>
        <v>94.98834499</v>
      </c>
      <c r="Q17" s="19">
        <f t="shared" si="9"/>
        <v>91.04294479</v>
      </c>
      <c r="R17" s="12">
        <f t="shared" ref="R17:R19" si="22">G17/K17</f>
        <v>0</v>
      </c>
      <c r="S17" s="198">
        <f t="shared" si="19"/>
        <v>-0.05011655012</v>
      </c>
      <c r="T17" s="65">
        <v>778.0</v>
      </c>
      <c r="U17" s="3"/>
      <c r="V17" s="3"/>
      <c r="W17" s="3"/>
      <c r="X17" s="3"/>
      <c r="Y17" s="3"/>
      <c r="Z17" s="3"/>
    </row>
    <row r="18">
      <c r="A18" s="5" t="s">
        <v>34</v>
      </c>
      <c r="B18" s="197">
        <v>75381.54</v>
      </c>
      <c r="C18" s="21">
        <f t="shared" si="20"/>
        <v>43246</v>
      </c>
      <c r="D18" s="243"/>
      <c r="E18" s="11">
        <f t="shared" si="14"/>
        <v>0</v>
      </c>
      <c r="F18" s="12">
        <f t="shared" si="21"/>
        <v>0</v>
      </c>
      <c r="G18" s="23"/>
      <c r="H18" s="8">
        <v>36.0</v>
      </c>
      <c r="I18" s="8">
        <v>30.0</v>
      </c>
      <c r="J18" s="14">
        <f t="shared" si="16"/>
        <v>40456</v>
      </c>
      <c r="K18" s="8">
        <v>26.0</v>
      </c>
      <c r="L18" s="15">
        <f t="shared" si="5"/>
        <v>2790</v>
      </c>
      <c r="M18" s="16">
        <f t="shared" si="6"/>
        <v>4</v>
      </c>
      <c r="N18" s="13"/>
      <c r="O18" s="17">
        <f t="shared" si="17"/>
        <v>13.33333333</v>
      </c>
      <c r="P18" s="18">
        <f t="shared" si="8"/>
        <v>83.33333333</v>
      </c>
      <c r="Q18" s="19">
        <f t="shared" si="9"/>
        <v>86.66666667</v>
      </c>
      <c r="R18" s="12">
        <f t="shared" si="22"/>
        <v>0</v>
      </c>
      <c r="S18" s="198">
        <f t="shared" si="19"/>
        <v>-0.1666666667</v>
      </c>
      <c r="T18" s="65">
        <v>1556.0</v>
      </c>
      <c r="U18" s="3"/>
      <c r="V18" s="3"/>
      <c r="W18" s="3"/>
      <c r="X18" s="3"/>
      <c r="Y18" s="3"/>
      <c r="Z18" s="3"/>
    </row>
    <row r="19">
      <c r="A19" s="5" t="s">
        <v>131</v>
      </c>
      <c r="B19" s="197">
        <v>83457.04</v>
      </c>
      <c r="C19" s="21">
        <f t="shared" si="20"/>
        <v>52380</v>
      </c>
      <c r="D19" s="243"/>
      <c r="E19" s="11">
        <f t="shared" si="14"/>
        <v>0</v>
      </c>
      <c r="F19" s="12">
        <f t="shared" si="21"/>
        <v>0</v>
      </c>
      <c r="G19" s="23"/>
      <c r="H19" s="8">
        <v>86.0</v>
      </c>
      <c r="I19" s="8">
        <v>75.0</v>
      </c>
      <c r="J19" s="14">
        <f t="shared" si="16"/>
        <v>45405</v>
      </c>
      <c r="K19" s="8">
        <v>45.0</v>
      </c>
      <c r="L19" s="15">
        <f t="shared" si="5"/>
        <v>6975</v>
      </c>
      <c r="M19" s="16">
        <f t="shared" si="6"/>
        <v>30</v>
      </c>
      <c r="N19" s="13"/>
      <c r="O19" s="17">
        <f t="shared" si="17"/>
        <v>40</v>
      </c>
      <c r="P19" s="18">
        <f t="shared" si="8"/>
        <v>87.20930233</v>
      </c>
      <c r="Q19" s="19">
        <f t="shared" si="9"/>
        <v>60</v>
      </c>
      <c r="R19" s="12">
        <f t="shared" si="22"/>
        <v>0</v>
      </c>
      <c r="S19" s="198">
        <f t="shared" si="19"/>
        <v>-0.1279069767</v>
      </c>
      <c r="T19" s="65">
        <v>1009.0</v>
      </c>
      <c r="U19" s="3"/>
      <c r="V19" s="3"/>
      <c r="W19" s="3"/>
      <c r="X19" s="3"/>
      <c r="Y19" s="3"/>
      <c r="Z19" s="3"/>
    </row>
    <row r="20">
      <c r="A20" s="5" t="s">
        <v>37</v>
      </c>
      <c r="B20" s="197">
        <v>0.0</v>
      </c>
      <c r="C20" s="21">
        <v>0.0</v>
      </c>
      <c r="D20" s="243"/>
      <c r="E20" s="11">
        <v>0.0</v>
      </c>
      <c r="F20" s="12">
        <v>0.0</v>
      </c>
      <c r="G20" s="23"/>
      <c r="H20" s="8">
        <v>0.0</v>
      </c>
      <c r="I20" s="8">
        <v>0.0</v>
      </c>
      <c r="J20" s="14">
        <f t="shared" si="16"/>
        <v>0</v>
      </c>
      <c r="K20" s="8">
        <v>0.0</v>
      </c>
      <c r="L20" s="15">
        <f t="shared" si="5"/>
        <v>0</v>
      </c>
      <c r="M20" s="16">
        <f t="shared" si="6"/>
        <v>0</v>
      </c>
      <c r="N20" s="13"/>
      <c r="O20" s="17">
        <v>0.0</v>
      </c>
      <c r="P20" s="18">
        <v>0.0</v>
      </c>
      <c r="Q20" s="19">
        <v>0.0</v>
      </c>
      <c r="R20" s="12">
        <v>0.0</v>
      </c>
      <c r="S20" s="198"/>
      <c r="T20" s="65">
        <v>250.0</v>
      </c>
      <c r="U20" s="3"/>
      <c r="V20" s="3"/>
      <c r="W20" s="3"/>
      <c r="X20" s="3"/>
      <c r="Y20" s="3"/>
      <c r="Z20" s="3"/>
    </row>
    <row r="21">
      <c r="A21" s="5" t="s">
        <v>132</v>
      </c>
      <c r="B21" s="197">
        <v>64724.37</v>
      </c>
      <c r="C21" s="21">
        <f t="shared" ref="C21:C34" si="23">G21+J21+L21</f>
        <v>31512</v>
      </c>
      <c r="D21" s="243"/>
      <c r="E21" s="11">
        <f t="shared" ref="E21:E34" si="24">D21/B21*100</f>
        <v>0</v>
      </c>
      <c r="F21" s="12">
        <f t="shared" ref="F21:F34" si="25">D21/K21</f>
        <v>0</v>
      </c>
      <c r="G21" s="23"/>
      <c r="H21" s="8">
        <v>148.0</v>
      </c>
      <c r="I21" s="8">
        <v>84.0</v>
      </c>
      <c r="J21" s="14">
        <f t="shared" si="16"/>
        <v>23700</v>
      </c>
      <c r="K21" s="8">
        <v>79.0</v>
      </c>
      <c r="L21" s="15">
        <f t="shared" si="5"/>
        <v>7812</v>
      </c>
      <c r="M21" s="16">
        <f t="shared" si="6"/>
        <v>5</v>
      </c>
      <c r="N21" s="13"/>
      <c r="O21" s="17">
        <f t="shared" ref="O21:O34" si="26">M21/I21*100</f>
        <v>5.952380952</v>
      </c>
      <c r="P21" s="18">
        <f t="shared" ref="P21:P34" si="27">I21/H21*100</f>
        <v>56.75675676</v>
      </c>
      <c r="Q21" s="19">
        <f t="shared" ref="Q21:Q34" si="28">K21/I21*100</f>
        <v>94.04761905</v>
      </c>
      <c r="R21" s="12">
        <f t="shared" ref="R21:R34" si="29">G21/K21</f>
        <v>0</v>
      </c>
      <c r="S21" s="198">
        <f>(I21-H21)/H21</f>
        <v>-0.4324324324</v>
      </c>
      <c r="T21" s="65">
        <v>300.0</v>
      </c>
      <c r="U21" s="3"/>
      <c r="V21" s="3"/>
      <c r="W21" s="3"/>
      <c r="X21" s="3"/>
      <c r="Y21" s="3"/>
      <c r="Z21" s="3"/>
    </row>
    <row r="22">
      <c r="A22" s="5" t="s">
        <v>146</v>
      </c>
      <c r="B22" s="197">
        <v>10042.07</v>
      </c>
      <c r="C22" s="21">
        <f t="shared" si="23"/>
        <v>4902</v>
      </c>
      <c r="D22" s="243"/>
      <c r="E22" s="11">
        <f t="shared" si="24"/>
        <v>0</v>
      </c>
      <c r="F22" s="12">
        <f t="shared" si="25"/>
        <v>0</v>
      </c>
      <c r="G22" s="23"/>
      <c r="H22" s="8">
        <v>14.0</v>
      </c>
      <c r="I22" s="8">
        <v>14.0</v>
      </c>
      <c r="J22" s="14">
        <f t="shared" si="16"/>
        <v>3600</v>
      </c>
      <c r="K22" s="8">
        <v>12.0</v>
      </c>
      <c r="L22" s="15">
        <f t="shared" si="5"/>
        <v>1302</v>
      </c>
      <c r="M22" s="16">
        <f t="shared" si="6"/>
        <v>2</v>
      </c>
      <c r="N22" s="13"/>
      <c r="O22" s="17">
        <f t="shared" si="26"/>
        <v>14.28571429</v>
      </c>
      <c r="P22" s="18">
        <f t="shared" si="27"/>
        <v>100</v>
      </c>
      <c r="Q22" s="19">
        <f t="shared" si="28"/>
        <v>85.71428571</v>
      </c>
      <c r="R22" s="12">
        <f t="shared" si="29"/>
        <v>0</v>
      </c>
      <c r="S22" s="198"/>
      <c r="T22" s="65">
        <v>300.0</v>
      </c>
      <c r="U22" s="3"/>
      <c r="V22" s="3"/>
      <c r="W22" s="3"/>
      <c r="X22" s="3"/>
      <c r="Y22" s="3"/>
      <c r="Z22" s="3"/>
    </row>
    <row r="23">
      <c r="A23" s="5" t="s">
        <v>133</v>
      </c>
      <c r="B23" s="197">
        <v>2257.16</v>
      </c>
      <c r="C23" s="21">
        <f t="shared" si="23"/>
        <v>1179</v>
      </c>
      <c r="D23" s="243"/>
      <c r="E23" s="11">
        <f t="shared" si="24"/>
        <v>0</v>
      </c>
      <c r="F23" s="12">
        <f t="shared" si="25"/>
        <v>0</v>
      </c>
      <c r="G23" s="23"/>
      <c r="H23" s="8">
        <v>5.0</v>
      </c>
      <c r="I23" s="8">
        <v>3.0</v>
      </c>
      <c r="J23" s="14">
        <f t="shared" si="16"/>
        <v>900</v>
      </c>
      <c r="K23" s="8">
        <v>3.0</v>
      </c>
      <c r="L23" s="15">
        <f t="shared" si="5"/>
        <v>279</v>
      </c>
      <c r="M23" s="16">
        <f t="shared" si="6"/>
        <v>0</v>
      </c>
      <c r="N23" s="13"/>
      <c r="O23" s="17">
        <f t="shared" si="26"/>
        <v>0</v>
      </c>
      <c r="P23" s="18">
        <f t="shared" si="27"/>
        <v>60</v>
      </c>
      <c r="Q23" s="19">
        <f t="shared" si="28"/>
        <v>100</v>
      </c>
      <c r="R23" s="12">
        <f t="shared" si="29"/>
        <v>0</v>
      </c>
      <c r="S23" s="198">
        <f t="shared" ref="S23:S25" si="30">(I23-H23)/H23</f>
        <v>-0.4</v>
      </c>
      <c r="T23" s="65">
        <v>300.0</v>
      </c>
      <c r="U23" s="3"/>
      <c r="V23" s="3"/>
      <c r="W23" s="3"/>
      <c r="X23" s="3"/>
      <c r="Y23" s="3"/>
      <c r="Z23" s="3"/>
    </row>
    <row r="24">
      <c r="A24" s="5" t="s">
        <v>134</v>
      </c>
      <c r="B24" s="197">
        <v>41271.17</v>
      </c>
      <c r="C24" s="21">
        <f t="shared" si="23"/>
        <v>21555</v>
      </c>
      <c r="D24" s="243"/>
      <c r="E24" s="11">
        <f t="shared" si="24"/>
        <v>0</v>
      </c>
      <c r="F24" s="12">
        <f t="shared" si="25"/>
        <v>0</v>
      </c>
      <c r="G24" s="23"/>
      <c r="H24" s="8">
        <v>29.0</v>
      </c>
      <c r="I24" s="8">
        <v>15.0</v>
      </c>
      <c r="J24" s="14">
        <f t="shared" si="16"/>
        <v>20160</v>
      </c>
      <c r="K24" s="8">
        <v>14.0</v>
      </c>
      <c r="L24" s="15">
        <f t="shared" si="5"/>
        <v>1395</v>
      </c>
      <c r="M24" s="16">
        <f t="shared" si="6"/>
        <v>1</v>
      </c>
      <c r="N24" s="13"/>
      <c r="O24" s="17">
        <f t="shared" si="26"/>
        <v>6.666666667</v>
      </c>
      <c r="P24" s="18">
        <f t="shared" si="27"/>
        <v>51.72413793</v>
      </c>
      <c r="Q24" s="19">
        <f t="shared" si="28"/>
        <v>93.33333333</v>
      </c>
      <c r="R24" s="12">
        <f t="shared" si="29"/>
        <v>0</v>
      </c>
      <c r="S24" s="198">
        <f t="shared" si="30"/>
        <v>-0.4827586207</v>
      </c>
      <c r="T24" s="65">
        <v>1440.0</v>
      </c>
      <c r="U24" s="3"/>
      <c r="V24" s="3"/>
      <c r="W24" s="3"/>
      <c r="X24" s="3"/>
      <c r="Y24" s="3"/>
      <c r="Z24" s="3"/>
    </row>
    <row r="25">
      <c r="A25" s="5" t="s">
        <v>135</v>
      </c>
      <c r="B25" s="197">
        <v>44770.51</v>
      </c>
      <c r="C25" s="21">
        <f t="shared" si="23"/>
        <v>31010</v>
      </c>
      <c r="D25" s="243"/>
      <c r="E25" s="11">
        <f t="shared" si="24"/>
        <v>0</v>
      </c>
      <c r="F25" s="12">
        <f t="shared" si="25"/>
        <v>0</v>
      </c>
      <c r="G25" s="23"/>
      <c r="H25" s="8">
        <v>41.0</v>
      </c>
      <c r="I25" s="8">
        <v>26.0</v>
      </c>
      <c r="J25" s="14">
        <f t="shared" si="16"/>
        <v>28592</v>
      </c>
      <c r="K25" s="8">
        <v>16.0</v>
      </c>
      <c r="L25" s="15">
        <f t="shared" si="5"/>
        <v>2418</v>
      </c>
      <c r="M25" s="16">
        <f t="shared" si="6"/>
        <v>10</v>
      </c>
      <c r="N25" s="13"/>
      <c r="O25" s="17">
        <f t="shared" si="26"/>
        <v>38.46153846</v>
      </c>
      <c r="P25" s="18">
        <f t="shared" si="27"/>
        <v>63.41463415</v>
      </c>
      <c r="Q25" s="19">
        <f t="shared" si="28"/>
        <v>61.53846154</v>
      </c>
      <c r="R25" s="12">
        <f t="shared" si="29"/>
        <v>0</v>
      </c>
      <c r="S25" s="198">
        <f t="shared" si="30"/>
        <v>-0.3658536585</v>
      </c>
      <c r="T25" s="65">
        <v>1787.0</v>
      </c>
      <c r="U25" s="3"/>
      <c r="V25" s="3"/>
      <c r="W25" s="3"/>
      <c r="X25" s="3"/>
      <c r="Y25" s="3"/>
      <c r="Z25" s="3"/>
    </row>
    <row r="26">
      <c r="A26" s="5" t="s">
        <v>136</v>
      </c>
      <c r="B26" s="197">
        <v>3748.0</v>
      </c>
      <c r="C26" s="21">
        <f t="shared" si="23"/>
        <v>1424</v>
      </c>
      <c r="D26" s="243"/>
      <c r="E26" s="11">
        <f t="shared" si="24"/>
        <v>0</v>
      </c>
      <c r="F26" s="12">
        <f t="shared" si="25"/>
        <v>0</v>
      </c>
      <c r="G26" s="23"/>
      <c r="H26" s="8">
        <v>2.0</v>
      </c>
      <c r="I26" s="8">
        <v>2.0</v>
      </c>
      <c r="J26" s="14">
        <f t="shared" si="16"/>
        <v>1238</v>
      </c>
      <c r="K26" s="8">
        <v>2.0</v>
      </c>
      <c r="L26" s="15">
        <f t="shared" si="5"/>
        <v>186</v>
      </c>
      <c r="M26" s="16">
        <f t="shared" si="6"/>
        <v>0</v>
      </c>
      <c r="N26" s="13"/>
      <c r="O26" s="17">
        <f t="shared" si="26"/>
        <v>0</v>
      </c>
      <c r="P26" s="18">
        <f t="shared" si="27"/>
        <v>100</v>
      </c>
      <c r="Q26" s="19">
        <f t="shared" si="28"/>
        <v>100</v>
      </c>
      <c r="R26" s="12">
        <f t="shared" si="29"/>
        <v>0</v>
      </c>
      <c r="S26" s="198"/>
      <c r="T26" s="65">
        <v>619.0</v>
      </c>
      <c r="U26" s="3"/>
      <c r="V26" s="3"/>
      <c r="W26" s="3"/>
      <c r="X26" s="3"/>
      <c r="Y26" s="3"/>
      <c r="Z26" s="3"/>
    </row>
    <row r="27">
      <c r="A27" s="5" t="s">
        <v>137</v>
      </c>
      <c r="B27" s="197">
        <v>59814.49</v>
      </c>
      <c r="C27" s="21">
        <f t="shared" si="23"/>
        <v>25719</v>
      </c>
      <c r="D27" s="243"/>
      <c r="E27" s="11">
        <f t="shared" si="24"/>
        <v>0</v>
      </c>
      <c r="F27" s="12">
        <f t="shared" si="25"/>
        <v>0</v>
      </c>
      <c r="G27" s="23"/>
      <c r="H27" s="8">
        <v>56.0</v>
      </c>
      <c r="I27" s="8">
        <v>55.0</v>
      </c>
      <c r="J27" s="14">
        <f t="shared" si="16"/>
        <v>20604</v>
      </c>
      <c r="K27" s="8">
        <v>51.0</v>
      </c>
      <c r="L27" s="15">
        <f t="shared" si="5"/>
        <v>5115</v>
      </c>
      <c r="M27" s="16">
        <f t="shared" si="6"/>
        <v>4</v>
      </c>
      <c r="N27" s="13"/>
      <c r="O27" s="17">
        <f t="shared" si="26"/>
        <v>7.272727273</v>
      </c>
      <c r="P27" s="18">
        <f t="shared" si="27"/>
        <v>98.21428571</v>
      </c>
      <c r="Q27" s="19">
        <f t="shared" si="28"/>
        <v>92.72727273</v>
      </c>
      <c r="R27" s="12">
        <f t="shared" si="29"/>
        <v>0</v>
      </c>
      <c r="S27" s="198">
        <f t="shared" ref="S27:S32" si="31">(I27-H27)/H27</f>
        <v>-0.01785714286</v>
      </c>
      <c r="T27" s="65">
        <v>404.0</v>
      </c>
      <c r="U27" s="3"/>
      <c r="V27" s="3"/>
      <c r="W27" s="3"/>
      <c r="X27" s="3"/>
      <c r="Y27" s="3"/>
      <c r="Z27" s="3"/>
    </row>
    <row r="28">
      <c r="A28" s="5" t="s">
        <v>138</v>
      </c>
      <c r="B28" s="197">
        <v>11593.0</v>
      </c>
      <c r="C28" s="21">
        <f t="shared" si="23"/>
        <v>5236</v>
      </c>
      <c r="D28" s="243"/>
      <c r="E28" s="11">
        <f t="shared" si="24"/>
        <v>0</v>
      </c>
      <c r="F28" s="12">
        <f t="shared" si="25"/>
        <v>0</v>
      </c>
      <c r="G28" s="23"/>
      <c r="H28" s="8">
        <v>8.0</v>
      </c>
      <c r="I28" s="8">
        <v>7.0</v>
      </c>
      <c r="J28" s="14">
        <f t="shared" si="16"/>
        <v>4585</v>
      </c>
      <c r="K28" s="8">
        <v>7.0</v>
      </c>
      <c r="L28" s="15">
        <f t="shared" si="5"/>
        <v>651</v>
      </c>
      <c r="M28" s="16">
        <f t="shared" si="6"/>
        <v>0</v>
      </c>
      <c r="N28" s="13"/>
      <c r="O28" s="17">
        <f t="shared" si="26"/>
        <v>0</v>
      </c>
      <c r="P28" s="18">
        <f t="shared" si="27"/>
        <v>87.5</v>
      </c>
      <c r="Q28" s="19">
        <f t="shared" si="28"/>
        <v>100</v>
      </c>
      <c r="R28" s="12">
        <f t="shared" si="29"/>
        <v>0</v>
      </c>
      <c r="S28" s="198">
        <f t="shared" si="31"/>
        <v>-0.125</v>
      </c>
      <c r="T28" s="65">
        <v>655.0</v>
      </c>
      <c r="U28" s="3"/>
      <c r="V28" s="3"/>
      <c r="W28" s="3"/>
      <c r="X28" s="3"/>
      <c r="Y28" s="3"/>
      <c r="Z28" s="3"/>
    </row>
    <row r="29">
      <c r="A29" s="5" t="s">
        <v>35</v>
      </c>
      <c r="B29" s="197">
        <v>56170.99</v>
      </c>
      <c r="C29" s="21">
        <f t="shared" si="23"/>
        <v>19740</v>
      </c>
      <c r="D29" s="243"/>
      <c r="E29" s="11">
        <f t="shared" si="24"/>
        <v>0</v>
      </c>
      <c r="F29" s="12">
        <f t="shared" si="25"/>
        <v>0</v>
      </c>
      <c r="G29" s="23"/>
      <c r="H29" s="8">
        <v>29.0</v>
      </c>
      <c r="I29" s="8">
        <v>28.0</v>
      </c>
      <c r="J29" s="14">
        <f t="shared" si="16"/>
        <v>17136</v>
      </c>
      <c r="K29" s="8">
        <v>28.0</v>
      </c>
      <c r="L29" s="15">
        <f t="shared" si="5"/>
        <v>2604</v>
      </c>
      <c r="M29" s="16">
        <f t="shared" si="6"/>
        <v>0</v>
      </c>
      <c r="N29" s="13"/>
      <c r="O29" s="17">
        <f t="shared" si="26"/>
        <v>0</v>
      </c>
      <c r="P29" s="18">
        <f t="shared" si="27"/>
        <v>96.55172414</v>
      </c>
      <c r="Q29" s="19">
        <f t="shared" si="28"/>
        <v>100</v>
      </c>
      <c r="R29" s="12">
        <f t="shared" si="29"/>
        <v>0</v>
      </c>
      <c r="S29" s="198">
        <f t="shared" si="31"/>
        <v>-0.03448275862</v>
      </c>
      <c r="T29" s="65">
        <v>612.0</v>
      </c>
      <c r="U29" s="3"/>
      <c r="V29" s="3"/>
      <c r="W29" s="3"/>
      <c r="X29" s="3"/>
      <c r="Y29" s="3"/>
      <c r="Z29" s="3"/>
    </row>
    <row r="30">
      <c r="A30" s="5" t="s">
        <v>139</v>
      </c>
      <c r="B30" s="197">
        <v>56021.1</v>
      </c>
      <c r="C30" s="21">
        <f t="shared" si="23"/>
        <v>24244</v>
      </c>
      <c r="D30" s="243"/>
      <c r="E30" s="11">
        <f t="shared" si="24"/>
        <v>0</v>
      </c>
      <c r="F30" s="12">
        <f t="shared" si="25"/>
        <v>0</v>
      </c>
      <c r="G30" s="23"/>
      <c r="H30" s="8">
        <v>36.0</v>
      </c>
      <c r="I30" s="8">
        <v>29.0</v>
      </c>
      <c r="J30" s="14">
        <f t="shared" si="16"/>
        <v>21547</v>
      </c>
      <c r="K30" s="8">
        <v>29.0</v>
      </c>
      <c r="L30" s="15">
        <f t="shared" si="5"/>
        <v>2697</v>
      </c>
      <c r="M30" s="16">
        <f t="shared" si="6"/>
        <v>0</v>
      </c>
      <c r="N30" s="13"/>
      <c r="O30" s="17">
        <f t="shared" si="26"/>
        <v>0</v>
      </c>
      <c r="P30" s="18">
        <f t="shared" si="27"/>
        <v>80.55555556</v>
      </c>
      <c r="Q30" s="19">
        <f t="shared" si="28"/>
        <v>100</v>
      </c>
      <c r="R30" s="12">
        <f t="shared" si="29"/>
        <v>0</v>
      </c>
      <c r="S30" s="198">
        <f t="shared" si="31"/>
        <v>-0.1944444444</v>
      </c>
      <c r="T30" s="65">
        <v>743.0</v>
      </c>
      <c r="U30" s="3"/>
      <c r="V30" s="3"/>
      <c r="W30" s="3"/>
      <c r="X30" s="3"/>
      <c r="Y30" s="3"/>
      <c r="Z30" s="3"/>
    </row>
    <row r="31">
      <c r="A31" s="5" t="s">
        <v>140</v>
      </c>
      <c r="B31" s="197">
        <v>24137.0</v>
      </c>
      <c r="C31" s="21">
        <f t="shared" si="23"/>
        <v>10816</v>
      </c>
      <c r="D31" s="243"/>
      <c r="E31" s="11">
        <f t="shared" si="24"/>
        <v>0</v>
      </c>
      <c r="F31" s="12">
        <f t="shared" si="25"/>
        <v>0</v>
      </c>
      <c r="G31" s="23"/>
      <c r="H31" s="8">
        <v>16.0</v>
      </c>
      <c r="I31" s="8">
        <v>13.0</v>
      </c>
      <c r="J31" s="14">
        <f t="shared" si="16"/>
        <v>9607</v>
      </c>
      <c r="K31" s="8">
        <v>13.0</v>
      </c>
      <c r="L31" s="15">
        <f t="shared" si="5"/>
        <v>1209</v>
      </c>
      <c r="M31" s="16">
        <f t="shared" si="6"/>
        <v>0</v>
      </c>
      <c r="N31" s="13"/>
      <c r="O31" s="17">
        <f t="shared" si="26"/>
        <v>0</v>
      </c>
      <c r="P31" s="18">
        <f t="shared" si="27"/>
        <v>81.25</v>
      </c>
      <c r="Q31" s="19">
        <f t="shared" si="28"/>
        <v>100</v>
      </c>
      <c r="R31" s="12">
        <f t="shared" si="29"/>
        <v>0</v>
      </c>
      <c r="S31" s="198">
        <f t="shared" si="31"/>
        <v>-0.1875</v>
      </c>
      <c r="T31" s="65">
        <v>739.0</v>
      </c>
      <c r="U31" s="3"/>
      <c r="V31" s="3"/>
      <c r="W31" s="3"/>
      <c r="X31" s="3"/>
      <c r="Y31" s="3"/>
      <c r="Z31" s="3"/>
    </row>
    <row r="32">
      <c r="A32" s="5" t="s">
        <v>141</v>
      </c>
      <c r="B32" s="197">
        <v>55191.59</v>
      </c>
      <c r="C32" s="21">
        <f t="shared" si="23"/>
        <v>17555</v>
      </c>
      <c r="D32" s="243"/>
      <c r="E32" s="11">
        <f t="shared" si="24"/>
        <v>0</v>
      </c>
      <c r="F32" s="12">
        <f t="shared" si="25"/>
        <v>0</v>
      </c>
      <c r="G32" s="23"/>
      <c r="H32" s="8">
        <v>32.0</v>
      </c>
      <c r="I32" s="8">
        <v>31.0</v>
      </c>
      <c r="J32" s="14">
        <f t="shared" si="16"/>
        <v>14672</v>
      </c>
      <c r="K32" s="8">
        <v>28.0</v>
      </c>
      <c r="L32" s="15">
        <f t="shared" si="5"/>
        <v>2883</v>
      </c>
      <c r="M32" s="16">
        <f t="shared" si="6"/>
        <v>3</v>
      </c>
      <c r="N32" s="13"/>
      <c r="O32" s="17">
        <f t="shared" si="26"/>
        <v>9.677419355</v>
      </c>
      <c r="P32" s="18">
        <f t="shared" si="27"/>
        <v>96.875</v>
      </c>
      <c r="Q32" s="19">
        <f t="shared" si="28"/>
        <v>90.32258065</v>
      </c>
      <c r="R32" s="12">
        <f t="shared" si="29"/>
        <v>0</v>
      </c>
      <c r="S32" s="198">
        <f t="shared" si="31"/>
        <v>-0.03125</v>
      </c>
      <c r="T32" s="65">
        <v>524.0</v>
      </c>
      <c r="U32" s="3"/>
      <c r="V32" s="3"/>
      <c r="W32" s="3"/>
      <c r="X32" s="3"/>
      <c r="Y32" s="3"/>
      <c r="Z32" s="3"/>
    </row>
    <row r="33">
      <c r="A33" s="5" t="s">
        <v>36</v>
      </c>
      <c r="B33" s="197">
        <v>10286.34</v>
      </c>
      <c r="C33" s="21">
        <f t="shared" si="23"/>
        <v>3510</v>
      </c>
      <c r="D33" s="243"/>
      <c r="E33" s="11">
        <f t="shared" si="24"/>
        <v>0</v>
      </c>
      <c r="F33" s="12">
        <f t="shared" si="25"/>
        <v>0</v>
      </c>
      <c r="G33" s="23"/>
      <c r="H33" s="8">
        <v>6.0</v>
      </c>
      <c r="I33" s="8">
        <v>6.0</v>
      </c>
      <c r="J33" s="14">
        <f t="shared" si="16"/>
        <v>2952</v>
      </c>
      <c r="K33" s="8">
        <v>6.0</v>
      </c>
      <c r="L33" s="15">
        <f t="shared" si="5"/>
        <v>558</v>
      </c>
      <c r="M33" s="16">
        <f t="shared" si="6"/>
        <v>0</v>
      </c>
      <c r="N33" s="13"/>
      <c r="O33" s="17">
        <f t="shared" si="26"/>
        <v>0</v>
      </c>
      <c r="P33" s="18">
        <f t="shared" si="27"/>
        <v>100</v>
      </c>
      <c r="Q33" s="19">
        <f t="shared" si="28"/>
        <v>100</v>
      </c>
      <c r="R33" s="12">
        <f t="shared" si="29"/>
        <v>0</v>
      </c>
      <c r="S33" s="198"/>
      <c r="T33" s="65">
        <v>492.0</v>
      </c>
      <c r="U33" s="3"/>
      <c r="V33" s="3"/>
      <c r="W33" s="3"/>
      <c r="X33" s="3"/>
      <c r="Y33" s="3"/>
      <c r="Z33" s="3"/>
    </row>
    <row r="34">
      <c r="A34" s="199" t="s">
        <v>142</v>
      </c>
      <c r="B34" s="197">
        <v>28689.54</v>
      </c>
      <c r="C34" s="21">
        <f t="shared" si="23"/>
        <v>11132</v>
      </c>
      <c r="D34" s="243"/>
      <c r="E34" s="11">
        <f t="shared" si="24"/>
        <v>0</v>
      </c>
      <c r="F34" s="12">
        <f t="shared" si="25"/>
        <v>0</v>
      </c>
      <c r="G34" s="23"/>
      <c r="H34" s="197">
        <v>20.0</v>
      </c>
      <c r="I34" s="197">
        <v>20.0</v>
      </c>
      <c r="J34" s="200">
        <f t="shared" si="16"/>
        <v>9272</v>
      </c>
      <c r="K34" s="197">
        <v>19.0</v>
      </c>
      <c r="L34" s="201">
        <f t="shared" si="5"/>
        <v>1860</v>
      </c>
      <c r="M34" s="202">
        <f t="shared" si="6"/>
        <v>1</v>
      </c>
      <c r="N34" s="23"/>
      <c r="O34" s="17">
        <f t="shared" si="26"/>
        <v>5</v>
      </c>
      <c r="P34" s="18">
        <f t="shared" si="27"/>
        <v>100</v>
      </c>
      <c r="Q34" s="19">
        <f t="shared" si="28"/>
        <v>95</v>
      </c>
      <c r="R34" s="12">
        <f t="shared" si="29"/>
        <v>0</v>
      </c>
      <c r="S34" s="198"/>
      <c r="T34" s="183">
        <v>488.0</v>
      </c>
      <c r="U34" s="37"/>
      <c r="V34" s="37"/>
      <c r="W34" s="37"/>
      <c r="X34" s="37"/>
      <c r="Y34" s="37"/>
      <c r="Z34" s="37"/>
    </row>
    <row r="35">
      <c r="A35" s="24" t="s">
        <v>38</v>
      </c>
      <c r="B35" s="179">
        <f>sum(B4:B34)+160000</f>
        <v>5920353.65</v>
      </c>
      <c r="C35" s="28"/>
      <c r="D35" s="25"/>
      <c r="E35" s="26"/>
      <c r="F35" s="26"/>
      <c r="G35" s="158">
        <v>4131781.0</v>
      </c>
      <c r="H35" s="25">
        <f t="shared" ref="H35:N35" si="32">SUM(H4:H34)</f>
        <v>5974</v>
      </c>
      <c r="I35" s="25">
        <f t="shared" si="32"/>
        <v>5634</v>
      </c>
      <c r="J35" s="25">
        <f t="shared" si="32"/>
        <v>1923952</v>
      </c>
      <c r="K35" s="25">
        <f t="shared" si="32"/>
        <v>5021</v>
      </c>
      <c r="L35" s="25">
        <f t="shared" si="32"/>
        <v>523962</v>
      </c>
      <c r="M35" s="25">
        <f t="shared" si="32"/>
        <v>564</v>
      </c>
      <c r="N35" s="25">
        <f t="shared" si="32"/>
        <v>49</v>
      </c>
      <c r="O35" s="198">
        <f>M35/K35</f>
        <v>0.1123282215</v>
      </c>
      <c r="P35" s="203">
        <f>I35/H35</f>
        <v>0.9430867091</v>
      </c>
      <c r="Q35" s="203">
        <f>K35/H35</f>
        <v>0.8404753934</v>
      </c>
      <c r="R35" s="29" t="str">
        <f>SUM(R4:R34)</f>
        <v>#DIV/0!</v>
      </c>
      <c r="S35" s="244"/>
      <c r="T35" s="28"/>
      <c r="U35" s="3"/>
      <c r="V35" s="3"/>
      <c r="W35" s="156"/>
      <c r="X35" s="3"/>
      <c r="Y35" s="3"/>
      <c r="Z35" s="3"/>
    </row>
    <row r="36">
      <c r="A36" s="3"/>
      <c r="B36" s="37"/>
      <c r="C36" s="3"/>
      <c r="D36" s="3"/>
      <c r="E36" s="3"/>
      <c r="F36" s="3"/>
      <c r="G36" s="3"/>
      <c r="H36" s="3"/>
      <c r="I36" s="3"/>
      <c r="J36" s="35"/>
      <c r="K36" s="204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156"/>
      <c r="X36" s="3"/>
      <c r="Y36" s="3"/>
      <c r="Z36" s="3"/>
    </row>
    <row r="37">
      <c r="A37" s="3"/>
      <c r="B37" s="37"/>
      <c r="C37" s="3"/>
      <c r="D37" s="3"/>
      <c r="E37" s="37"/>
      <c r="F37" s="3"/>
      <c r="G37" s="37"/>
      <c r="H37" s="3"/>
      <c r="I37" s="3"/>
      <c r="J37" s="205"/>
      <c r="K37" s="204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156"/>
      <c r="X37" s="3"/>
      <c r="Y37" s="3"/>
      <c r="Z37" s="3"/>
    </row>
    <row r="38">
      <c r="A38" s="3"/>
      <c r="B38" s="37"/>
      <c r="C38" s="3"/>
      <c r="D38" s="30" t="s">
        <v>39</v>
      </c>
      <c r="E38" s="37"/>
      <c r="F38" s="35"/>
      <c r="G38" s="3"/>
      <c r="H38" s="157"/>
      <c r="I38" s="157"/>
      <c r="J38" s="160"/>
      <c r="K38" s="161"/>
      <c r="L38" s="206"/>
      <c r="M38" s="3"/>
      <c r="N38" s="3"/>
      <c r="O38" s="3"/>
      <c r="P38" s="3"/>
      <c r="Q38" s="3"/>
      <c r="R38" s="3"/>
      <c r="S38" s="3"/>
      <c r="T38" s="3"/>
      <c r="U38" s="3"/>
      <c r="V38" s="3"/>
      <c r="W38" s="156"/>
      <c r="X38" s="3"/>
      <c r="Y38" s="3"/>
      <c r="Z38" s="3"/>
    </row>
    <row r="39">
      <c r="A39" s="31" t="s">
        <v>116</v>
      </c>
      <c r="B39" s="36">
        <f>K35</f>
        <v>5021</v>
      </c>
      <c r="C39" s="35"/>
      <c r="D39" s="69"/>
      <c r="E39" s="162"/>
      <c r="F39" s="35"/>
      <c r="G39" s="3"/>
      <c r="H39" s="157"/>
      <c r="I39" s="157"/>
      <c r="J39" s="163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3"/>
      <c r="Y39" s="3"/>
      <c r="Z39" s="3"/>
    </row>
    <row r="40">
      <c r="A40" s="31" t="s">
        <v>40</v>
      </c>
      <c r="B40" s="36">
        <f>B35</f>
        <v>5920353.65</v>
      </c>
      <c r="C40" s="35"/>
      <c r="D40" s="33" t="s">
        <v>41</v>
      </c>
      <c r="E40" s="34">
        <f>B41/B39</f>
        <v>383.1810396</v>
      </c>
      <c r="F40" s="35"/>
      <c r="G40" s="205"/>
      <c r="H40" s="157"/>
      <c r="I40" s="157"/>
      <c r="J40" s="160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3"/>
      <c r="Y40" s="3"/>
      <c r="Z40" s="3"/>
    </row>
    <row r="41">
      <c r="A41" s="31" t="s">
        <v>41</v>
      </c>
      <c r="B41" s="36">
        <f>J35</f>
        <v>1923952</v>
      </c>
      <c r="C41" s="35"/>
      <c r="D41" s="33" t="s">
        <v>42</v>
      </c>
      <c r="E41" s="34">
        <f>G35/B39</f>
        <v>822.9000199</v>
      </c>
      <c r="F41" s="3"/>
      <c r="G41" s="205"/>
      <c r="H41" s="157"/>
      <c r="I41" s="157"/>
      <c r="J41" s="160"/>
      <c r="K41" s="161"/>
      <c r="L41" s="206"/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3"/>
      <c r="Y41" s="3"/>
      <c r="Z41" s="3"/>
    </row>
    <row r="42">
      <c r="A42" s="31" t="s">
        <v>43</v>
      </c>
      <c r="B42" s="36">
        <f>L35</f>
        <v>523962</v>
      </c>
      <c r="C42" s="35"/>
      <c r="D42" s="33" t="s">
        <v>43</v>
      </c>
      <c r="E42" s="34">
        <f>B42/B39</f>
        <v>104.3541127</v>
      </c>
      <c r="F42" s="3"/>
      <c r="G42" s="205"/>
      <c r="H42" s="157"/>
      <c r="I42" s="157"/>
      <c r="J42" s="160"/>
      <c r="K42" s="161"/>
      <c r="L42" s="206"/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3"/>
      <c r="Y42" s="3"/>
      <c r="Z42" s="3"/>
    </row>
    <row r="43">
      <c r="A43" s="31" t="s">
        <v>44</v>
      </c>
      <c r="B43" s="36">
        <f>G35</f>
        <v>4131781</v>
      </c>
      <c r="C43" s="35"/>
      <c r="D43" s="33" t="s">
        <v>45</v>
      </c>
      <c r="E43" s="34">
        <f>B40/B39</f>
        <v>1179.118433</v>
      </c>
      <c r="F43" s="3"/>
      <c r="G43" s="205"/>
      <c r="H43" s="157"/>
      <c r="I43" s="157"/>
      <c r="J43" s="157"/>
      <c r="K43" s="157"/>
      <c r="L43" s="20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1" t="s">
        <v>46</v>
      </c>
      <c r="B44" s="36">
        <f>B40-(B41+B42+B43)</f>
        <v>-659341.35</v>
      </c>
      <c r="C44" s="37"/>
      <c r="D44" s="3"/>
      <c r="E44" s="3"/>
      <c r="F44" s="3"/>
      <c r="G44" s="3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1" t="s">
        <v>47</v>
      </c>
      <c r="B45" s="36"/>
      <c r="C45" s="3"/>
      <c r="D45" s="3"/>
      <c r="E45" s="3"/>
      <c r="F45" s="3"/>
      <c r="G45" s="3"/>
      <c r="H45" s="157"/>
      <c r="I45" s="157"/>
      <c r="J45" s="157"/>
      <c r="K45" s="157"/>
      <c r="L45" s="15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07"/>
      <c r="B46" s="208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>
      <c r="A47" s="207"/>
      <c r="B47" s="208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>
      <c r="A48" s="1" t="s">
        <v>160</v>
      </c>
      <c r="B48" s="2" t="s">
        <v>48</v>
      </c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8" t="s">
        <v>49</v>
      </c>
      <c r="B50" s="24" t="s">
        <v>3</v>
      </c>
      <c r="C50" s="24" t="s">
        <v>4</v>
      </c>
      <c r="D50" s="24" t="s">
        <v>5</v>
      </c>
      <c r="E50" s="39" t="s">
        <v>6</v>
      </c>
      <c r="F50" s="24" t="s">
        <v>7</v>
      </c>
      <c r="G50" s="24" t="s">
        <v>9</v>
      </c>
      <c r="H50" s="24" t="s">
        <v>11</v>
      </c>
      <c r="I50" s="24" t="s">
        <v>12</v>
      </c>
      <c r="J50" s="24" t="s">
        <v>50</v>
      </c>
      <c r="K50" s="24" t="s">
        <v>51</v>
      </c>
      <c r="L50" s="39" t="s">
        <v>16</v>
      </c>
      <c r="M50" s="24" t="s">
        <v>52</v>
      </c>
      <c r="N50" s="40" t="s">
        <v>53</v>
      </c>
      <c r="O50" s="3"/>
    </row>
    <row r="51">
      <c r="A51" s="24" t="s">
        <v>21</v>
      </c>
      <c r="B51" s="245">
        <f>1282967.14+210.6+12986.45+85579.32</f>
        <v>1381743.51</v>
      </c>
      <c r="C51" s="213">
        <f t="shared" ref="C51:C67" si="33">K51+H51+M51</f>
        <v>738498.18</v>
      </c>
      <c r="D51" s="214">
        <f t="shared" ref="D51:D67" si="34">B51-C51</f>
        <v>643245.33</v>
      </c>
      <c r="E51" s="215">
        <f t="shared" ref="E51:E67" si="35">D51/B51*100</f>
        <v>46.55316456</v>
      </c>
      <c r="F51" s="216">
        <f t="shared" ref="F51:F67" si="36">D51/I51</f>
        <v>412.8660655</v>
      </c>
      <c r="G51" s="217">
        <f>1600+1+8+66</f>
        <v>1675</v>
      </c>
      <c r="H51" s="218">
        <f>220*I51</f>
        <v>342760</v>
      </c>
      <c r="I51" s="219">
        <f>1485+7+66</f>
        <v>1558</v>
      </c>
      <c r="J51" s="218">
        <f t="shared" ref="J51:J67" si="37">G51-I51</f>
        <v>117</v>
      </c>
      <c r="K51" s="246">
        <f>(361233.87+563.39+2347.07+15863.59)-(150548.09)</f>
        <v>229459.83</v>
      </c>
      <c r="L51" s="50">
        <f>J51/I51*100</f>
        <v>7.509627728</v>
      </c>
      <c r="M51" s="220">
        <v>166278.35</v>
      </c>
      <c r="N51" s="52">
        <f>J51*999</f>
        <v>116883</v>
      </c>
      <c r="O51" s="53">
        <f t="shared" ref="O51:O67" si="38">B51/M51</f>
        <v>8.309822115</v>
      </c>
      <c r="P51" s="54" t="str">
        <f t="shared" ref="P51:P66" si="39">B51/#REF!*100</f>
        <v>#REF!</v>
      </c>
    </row>
    <row r="52">
      <c r="A52" s="24" t="s">
        <v>23</v>
      </c>
      <c r="B52" s="247">
        <v>1053340.53</v>
      </c>
      <c r="C52" s="213">
        <f t="shared" si="33"/>
        <v>593950.11</v>
      </c>
      <c r="D52" s="214">
        <f t="shared" si="34"/>
        <v>459390.42</v>
      </c>
      <c r="E52" s="215">
        <f t="shared" si="35"/>
        <v>43.61271658</v>
      </c>
      <c r="F52" s="216">
        <f t="shared" si="36"/>
        <v>414.9868293</v>
      </c>
      <c r="G52" s="217">
        <f>1189</f>
        <v>1189</v>
      </c>
      <c r="H52" s="218">
        <f>304*I52</f>
        <v>336528</v>
      </c>
      <c r="I52" s="219">
        <f>1107</f>
        <v>1107</v>
      </c>
      <c r="J52" s="218">
        <f t="shared" si="37"/>
        <v>82</v>
      </c>
      <c r="K52" s="246">
        <f>(204827.82)-(27004.57)</f>
        <v>177823.25</v>
      </c>
      <c r="L52" s="50">
        <f t="shared" ref="L52:L67" si="40">J52/G52*100</f>
        <v>6.896551724</v>
      </c>
      <c r="M52" s="220">
        <v>79598.86</v>
      </c>
      <c r="N52" s="52">
        <f>J52*1119</f>
        <v>91758</v>
      </c>
      <c r="O52" s="53">
        <f t="shared" si="38"/>
        <v>13.23311075</v>
      </c>
      <c r="P52" s="54" t="str">
        <f t="shared" si="39"/>
        <v>#REF!</v>
      </c>
    </row>
    <row r="53">
      <c r="A53" s="24" t="s">
        <v>25</v>
      </c>
      <c r="B53" s="245">
        <f>2426.14+555.82</f>
        <v>2981.96</v>
      </c>
      <c r="C53" s="213">
        <f t="shared" si="33"/>
        <v>6774.78</v>
      </c>
      <c r="D53" s="214">
        <f t="shared" si="34"/>
        <v>-3792.82</v>
      </c>
      <c r="E53" s="215">
        <f t="shared" si="35"/>
        <v>-127.1921823</v>
      </c>
      <c r="F53" s="216">
        <f t="shared" si="36"/>
        <v>-1896.41</v>
      </c>
      <c r="G53" s="217">
        <f>4+4</f>
        <v>8</v>
      </c>
      <c r="H53" s="218">
        <f> 662*I53</f>
        <v>1324</v>
      </c>
      <c r="I53" s="219">
        <f>2</f>
        <v>2</v>
      </c>
      <c r="J53" s="218">
        <f t="shared" si="37"/>
        <v>6</v>
      </c>
      <c r="K53" s="246">
        <f>(3040.42+2410.36)-(1896.11)</f>
        <v>3554.67</v>
      </c>
      <c r="L53" s="50">
        <f t="shared" si="40"/>
        <v>75</v>
      </c>
      <c r="M53" s="220">
        <v>1896.11</v>
      </c>
      <c r="N53" s="52">
        <f>J53*1799</f>
        <v>10794</v>
      </c>
      <c r="O53" s="53">
        <f t="shared" si="38"/>
        <v>1.572672472</v>
      </c>
      <c r="P53" s="54" t="str">
        <f t="shared" si="39"/>
        <v>#REF!</v>
      </c>
    </row>
    <row r="54">
      <c r="A54" s="24" t="s">
        <v>26</v>
      </c>
      <c r="B54" s="245">
        <f>10367.3+177437.51</f>
        <v>187804.81</v>
      </c>
      <c r="C54" s="213">
        <f t="shared" si="33"/>
        <v>146669.25</v>
      </c>
      <c r="D54" s="214">
        <f t="shared" si="34"/>
        <v>41135.56</v>
      </c>
      <c r="E54" s="215">
        <f t="shared" si="35"/>
        <v>21.90335807</v>
      </c>
      <c r="F54" s="216">
        <f t="shared" si="36"/>
        <v>92.64765766</v>
      </c>
      <c r="G54" s="217">
        <f>16+458</f>
        <v>474</v>
      </c>
      <c r="H54" s="218">
        <f>184*I54</f>
        <v>81696</v>
      </c>
      <c r="I54" s="219">
        <f>16+428</f>
        <v>444</v>
      </c>
      <c r="J54" s="218">
        <f t="shared" si="37"/>
        <v>30</v>
      </c>
      <c r="K54" s="246">
        <f>(1733.26+54510.3)-(21527.99)</f>
        <v>34715.57</v>
      </c>
      <c r="L54" s="50">
        <f t="shared" si="40"/>
        <v>6.329113924</v>
      </c>
      <c r="M54" s="220">
        <v>30257.68</v>
      </c>
      <c r="N54" s="52">
        <f>J54*499</f>
        <v>14970</v>
      </c>
      <c r="O54" s="53">
        <f t="shared" si="38"/>
        <v>6.20684765</v>
      </c>
      <c r="P54" s="54" t="str">
        <f t="shared" si="39"/>
        <v>#REF!</v>
      </c>
    </row>
    <row r="55">
      <c r="A55" s="24" t="s">
        <v>29</v>
      </c>
      <c r="B55" s="245">
        <f>529028.26+13041</f>
        <v>542069.26</v>
      </c>
      <c r="C55" s="213">
        <f t="shared" si="33"/>
        <v>391282.29</v>
      </c>
      <c r="D55" s="214">
        <f t="shared" si="34"/>
        <v>150786.97</v>
      </c>
      <c r="E55" s="215">
        <f t="shared" si="35"/>
        <v>27.81691956</v>
      </c>
      <c r="F55" s="216">
        <f t="shared" si="36"/>
        <v>265.9382187</v>
      </c>
      <c r="G55" s="217">
        <f>594+9</f>
        <v>603</v>
      </c>
      <c r="H55" s="218">
        <f>308*I55</f>
        <v>174636</v>
      </c>
      <c r="I55" s="219">
        <f>558+9</f>
        <v>567</v>
      </c>
      <c r="J55" s="218">
        <f t="shared" si="37"/>
        <v>36</v>
      </c>
      <c r="K55" s="246">
        <f>(188241.09+2429.33)-(95699.61+18.57)</f>
        <v>94952.24</v>
      </c>
      <c r="L55" s="50">
        <f t="shared" si="40"/>
        <v>5.970149254</v>
      </c>
      <c r="M55" s="220">
        <v>121694.05</v>
      </c>
      <c r="N55" s="52">
        <f>J55*1249</f>
        <v>44964</v>
      </c>
      <c r="O55" s="53">
        <f t="shared" si="38"/>
        <v>4.454361244</v>
      </c>
      <c r="P55" s="54" t="str">
        <f t="shared" si="39"/>
        <v>#REF!</v>
      </c>
    </row>
    <row r="56">
      <c r="A56" s="24" t="s">
        <v>31</v>
      </c>
      <c r="B56" s="245">
        <f>64596.27</f>
        <v>64596.27</v>
      </c>
      <c r="C56" s="213">
        <f t="shared" si="33"/>
        <v>69044.72</v>
      </c>
      <c r="D56" s="214">
        <f t="shared" si="34"/>
        <v>-4448.45</v>
      </c>
      <c r="E56" s="215">
        <f t="shared" si="35"/>
        <v>-6.886543139</v>
      </c>
      <c r="F56" s="216">
        <f t="shared" si="36"/>
        <v>-74.14083333</v>
      </c>
      <c r="G56" s="217">
        <f>62</f>
        <v>62</v>
      </c>
      <c r="H56" s="218">
        <f>435*I56</f>
        <v>26100</v>
      </c>
      <c r="I56" s="219">
        <f>60</f>
        <v>60</v>
      </c>
      <c r="J56" s="218">
        <f t="shared" si="37"/>
        <v>2</v>
      </c>
      <c r="K56" s="246">
        <f>(35767.3)-(24808.01) </f>
        <v>10959.29</v>
      </c>
      <c r="L56" s="50">
        <f t="shared" si="40"/>
        <v>3.225806452</v>
      </c>
      <c r="M56" s="220">
        <v>31985.43</v>
      </c>
      <c r="N56" s="52">
        <f>J56*1349</f>
        <v>2698</v>
      </c>
      <c r="O56" s="53">
        <f t="shared" si="38"/>
        <v>2.019552965</v>
      </c>
      <c r="P56" s="54" t="str">
        <f t="shared" si="39"/>
        <v>#REF!</v>
      </c>
    </row>
    <row r="57">
      <c r="A57" s="24" t="s">
        <v>33</v>
      </c>
      <c r="B57" s="245">
        <f>75198.13+229796.07</f>
        <v>304994.2</v>
      </c>
      <c r="C57" s="213">
        <f t="shared" si="33"/>
        <v>229830.82</v>
      </c>
      <c r="D57" s="214">
        <f t="shared" si="34"/>
        <v>75163.38</v>
      </c>
      <c r="E57" s="215">
        <f t="shared" si="35"/>
        <v>24.64419979</v>
      </c>
      <c r="F57" s="216">
        <f t="shared" si="36"/>
        <v>455.5356364</v>
      </c>
      <c r="G57" s="217">
        <f>39+157</f>
        <v>196</v>
      </c>
      <c r="H57" s="218">
        <f>778*I57</f>
        <v>128370</v>
      </c>
      <c r="I57" s="219">
        <f>32+133</f>
        <v>165</v>
      </c>
      <c r="J57" s="218">
        <f t="shared" si="37"/>
        <v>31</v>
      </c>
      <c r="K57" s="246">
        <f>(42167.5+53995.17 )-(28155.87+7664.32)</f>
        <v>60342.48</v>
      </c>
      <c r="L57" s="50">
        <f t="shared" si="40"/>
        <v>15.81632653</v>
      </c>
      <c r="M57" s="220">
        <v>41118.34</v>
      </c>
      <c r="N57" s="52">
        <f>J57*1999</f>
        <v>61969</v>
      </c>
      <c r="O57" s="53">
        <f t="shared" si="38"/>
        <v>7.417473565</v>
      </c>
      <c r="P57" s="54" t="str">
        <f t="shared" si="39"/>
        <v>#REF!</v>
      </c>
    </row>
    <row r="58">
      <c r="A58" s="24" t="s">
        <v>131</v>
      </c>
      <c r="B58" s="245">
        <f>64163.35+7497</f>
        <v>71660.35</v>
      </c>
      <c r="C58" s="213">
        <f t="shared" si="33"/>
        <v>75093.36</v>
      </c>
      <c r="D58" s="214">
        <f t="shared" si="34"/>
        <v>-3433.01</v>
      </c>
      <c r="E58" s="215">
        <f t="shared" si="35"/>
        <v>-4.790668759</v>
      </c>
      <c r="F58" s="216">
        <f t="shared" si="36"/>
        <v>-76.28911111</v>
      </c>
      <c r="G58" s="217">
        <f>43+3</f>
        <v>46</v>
      </c>
      <c r="H58" s="218">
        <f>(900)*I58</f>
        <v>40500</v>
      </c>
      <c r="I58" s="219">
        <f>42+3</f>
        <v>45</v>
      </c>
      <c r="J58" s="218">
        <f t="shared" si="37"/>
        <v>1</v>
      </c>
      <c r="K58" s="246">
        <f>(19089.19+5259.06)-(8002.47-2972.15)</f>
        <v>19317.93</v>
      </c>
      <c r="L58" s="50">
        <f t="shared" si="40"/>
        <v>2.173913043</v>
      </c>
      <c r="M58" s="220">
        <v>15275.43</v>
      </c>
      <c r="N58" s="52">
        <f>J58*999</f>
        <v>999</v>
      </c>
      <c r="O58" s="53">
        <f t="shared" si="38"/>
        <v>4.691216548</v>
      </c>
      <c r="P58" s="54" t="str">
        <f t="shared" si="39"/>
        <v>#REF!</v>
      </c>
    </row>
    <row r="59">
      <c r="A59" s="24" t="s">
        <v>54</v>
      </c>
      <c r="B59" s="245">
        <f>12277</f>
        <v>12277</v>
      </c>
      <c r="C59" s="213">
        <f t="shared" si="33"/>
        <v>13465.62</v>
      </c>
      <c r="D59" s="214">
        <f t="shared" si="34"/>
        <v>-1188.62</v>
      </c>
      <c r="E59" s="215">
        <f t="shared" si="35"/>
        <v>-9.681681192</v>
      </c>
      <c r="F59" s="216">
        <f t="shared" si="36"/>
        <v>-49.52583333</v>
      </c>
      <c r="G59" s="217">
        <f>24</f>
        <v>24</v>
      </c>
      <c r="H59" s="218">
        <f>200*I59</f>
        <v>4800</v>
      </c>
      <c r="I59" s="219">
        <f>24</f>
        <v>24</v>
      </c>
      <c r="J59" s="218">
        <f t="shared" si="37"/>
        <v>0</v>
      </c>
      <c r="K59" s="246">
        <f>(8538.99)-(6645.1)</f>
        <v>1893.89</v>
      </c>
      <c r="L59" s="50">
        <f t="shared" si="40"/>
        <v>0</v>
      </c>
      <c r="M59" s="220">
        <v>6771.73</v>
      </c>
      <c r="N59" s="52">
        <f>J59*599</f>
        <v>0</v>
      </c>
      <c r="O59" s="53">
        <f t="shared" si="38"/>
        <v>1.812978367</v>
      </c>
      <c r="P59" s="54" t="str">
        <f t="shared" si="39"/>
        <v>#REF!</v>
      </c>
    </row>
    <row r="60">
      <c r="A60" s="24" t="s">
        <v>55</v>
      </c>
      <c r="B60" s="248"/>
      <c r="C60" s="213">
        <f t="shared" si="33"/>
        <v>0</v>
      </c>
      <c r="D60" s="214">
        <f t="shared" si="34"/>
        <v>0</v>
      </c>
      <c r="E60" s="215" t="str">
        <f t="shared" si="35"/>
        <v>#DIV/0!</v>
      </c>
      <c r="F60" s="216" t="str">
        <f t="shared" si="36"/>
        <v>#DIV/0!</v>
      </c>
      <c r="G60" s="249"/>
      <c r="H60" s="218">
        <f>(270+220)*I60</f>
        <v>0</v>
      </c>
      <c r="I60" s="250"/>
      <c r="J60" s="218">
        <f t="shared" si="37"/>
        <v>0</v>
      </c>
      <c r="K60" s="251"/>
      <c r="L60" s="50" t="str">
        <f t="shared" si="40"/>
        <v>#DIV/0!</v>
      </c>
      <c r="M60" s="186"/>
      <c r="N60" s="56"/>
      <c r="O60" s="53" t="str">
        <f t="shared" si="38"/>
        <v>#DIV/0!</v>
      </c>
      <c r="P60" s="54" t="str">
        <f t="shared" si="39"/>
        <v>#REF!</v>
      </c>
    </row>
    <row r="61">
      <c r="A61" s="24" t="s">
        <v>56</v>
      </c>
      <c r="B61" s="245">
        <f>6589.94</f>
        <v>6589.94</v>
      </c>
      <c r="C61" s="213">
        <f t="shared" si="33"/>
        <v>2618.39</v>
      </c>
      <c r="D61" s="214">
        <f t="shared" si="34"/>
        <v>3971.55</v>
      </c>
      <c r="E61" s="215">
        <f t="shared" si="35"/>
        <v>60.26686131</v>
      </c>
      <c r="F61" s="216">
        <f t="shared" si="36"/>
        <v>1323.85</v>
      </c>
      <c r="G61" s="217">
        <f>3</f>
        <v>3</v>
      </c>
      <c r="H61" s="218">
        <f>(220+304)*I61</f>
        <v>1572</v>
      </c>
      <c r="I61" s="219">
        <f>3</f>
        <v>3</v>
      </c>
      <c r="J61" s="218">
        <f t="shared" si="37"/>
        <v>0</v>
      </c>
      <c r="K61" s="246">
        <f>1046.39 </f>
        <v>1046.39</v>
      </c>
      <c r="L61" s="50">
        <f t="shared" si="40"/>
        <v>0</v>
      </c>
      <c r="M61" s="28"/>
      <c r="N61" s="52">
        <f>J61*2199</f>
        <v>0</v>
      </c>
      <c r="O61" s="53" t="str">
        <f t="shared" si="38"/>
        <v>#DIV/0!</v>
      </c>
      <c r="P61" s="54" t="str">
        <f t="shared" si="39"/>
        <v>#REF!</v>
      </c>
    </row>
    <row r="62">
      <c r="A62" s="24" t="s">
        <v>57</v>
      </c>
      <c r="B62" s="245">
        <f>4398</f>
        <v>4398</v>
      </c>
      <c r="C62" s="213">
        <f t="shared" si="33"/>
        <v>1935.76</v>
      </c>
      <c r="D62" s="214">
        <f t="shared" si="34"/>
        <v>2462.24</v>
      </c>
      <c r="E62" s="215">
        <f t="shared" si="35"/>
        <v>55.98544793</v>
      </c>
      <c r="F62" s="216">
        <f t="shared" si="36"/>
        <v>1231.12</v>
      </c>
      <c r="G62" s="217">
        <f>2</f>
        <v>2</v>
      </c>
      <c r="H62" s="218">
        <f>(220+308)*I62</f>
        <v>1056</v>
      </c>
      <c r="I62" s="219">
        <f>2</f>
        <v>2</v>
      </c>
      <c r="J62" s="218">
        <f t="shared" si="37"/>
        <v>0</v>
      </c>
      <c r="K62" s="246">
        <f>879.76 </f>
        <v>879.76</v>
      </c>
      <c r="L62" s="50">
        <f t="shared" si="40"/>
        <v>0</v>
      </c>
      <c r="M62" s="28"/>
      <c r="N62" s="52">
        <f>J62*999</f>
        <v>0</v>
      </c>
      <c r="O62" s="53" t="str">
        <f t="shared" si="38"/>
        <v>#DIV/0!</v>
      </c>
      <c r="P62" s="54" t="str">
        <f t="shared" si="39"/>
        <v>#REF!</v>
      </c>
    </row>
    <row r="63">
      <c r="A63" s="24" t="s">
        <v>58</v>
      </c>
      <c r="B63" s="245">
        <f>12573.04</f>
        <v>12573.04</v>
      </c>
      <c r="C63" s="213">
        <f t="shared" si="33"/>
        <v>8227.34</v>
      </c>
      <c r="D63" s="214">
        <f t="shared" si="34"/>
        <v>4345.7</v>
      </c>
      <c r="E63" s="215">
        <f t="shared" si="35"/>
        <v>34.56363775</v>
      </c>
      <c r="F63" s="216">
        <f t="shared" si="36"/>
        <v>434.57</v>
      </c>
      <c r="G63" s="217">
        <f>14</f>
        <v>14</v>
      </c>
      <c r="H63" s="218">
        <f>(304+184)*I63</f>
        <v>4880</v>
      </c>
      <c r="I63" s="219">
        <f>10</f>
        <v>10</v>
      </c>
      <c r="J63" s="218">
        <f t="shared" si="37"/>
        <v>4</v>
      </c>
      <c r="K63" s="246">
        <f>3341.14 </f>
        <v>3341.14</v>
      </c>
      <c r="L63" s="50">
        <f t="shared" si="40"/>
        <v>28.57142857</v>
      </c>
      <c r="M63" s="226">
        <v>6.2</v>
      </c>
      <c r="N63" s="52">
        <f>J63*1499</f>
        <v>5996</v>
      </c>
      <c r="O63" s="53">
        <f t="shared" si="38"/>
        <v>2027.909677</v>
      </c>
      <c r="P63" s="54" t="str">
        <f t="shared" si="39"/>
        <v>#REF!</v>
      </c>
    </row>
    <row r="64">
      <c r="A64" s="24" t="s">
        <v>59</v>
      </c>
      <c r="B64" s="245">
        <f>6171.28</f>
        <v>6171.28</v>
      </c>
      <c r="C64" s="213">
        <f t="shared" si="33"/>
        <v>2844.07</v>
      </c>
      <c r="D64" s="214">
        <f t="shared" si="34"/>
        <v>3327.21</v>
      </c>
      <c r="E64" s="215">
        <f t="shared" si="35"/>
        <v>53.91442294</v>
      </c>
      <c r="F64" s="216">
        <f t="shared" si="36"/>
        <v>1109.07</v>
      </c>
      <c r="G64" s="217">
        <f>3</f>
        <v>3</v>
      </c>
      <c r="H64" s="218">
        <f>(304+308)*I64</f>
        <v>1836</v>
      </c>
      <c r="I64" s="219">
        <f>3</f>
        <v>3</v>
      </c>
      <c r="J64" s="218">
        <f t="shared" si="37"/>
        <v>0</v>
      </c>
      <c r="K64" s="246">
        <f>1008.07</f>
        <v>1008.07</v>
      </c>
      <c r="L64" s="50">
        <f t="shared" si="40"/>
        <v>0</v>
      </c>
      <c r="M64" s="186"/>
      <c r="N64" s="52">
        <f t="shared" ref="N64:N67" si="41">J64*999</f>
        <v>0</v>
      </c>
      <c r="O64" s="53" t="str">
        <f t="shared" si="38"/>
        <v>#DIV/0!</v>
      </c>
      <c r="P64" s="54" t="str">
        <f t="shared" si="39"/>
        <v>#REF!</v>
      </c>
    </row>
    <row r="65">
      <c r="A65" s="24" t="s">
        <v>161</v>
      </c>
      <c r="B65" s="245">
        <f>21288.93</f>
        <v>21288.93</v>
      </c>
      <c r="C65" s="213">
        <f t="shared" si="33"/>
        <v>16289.59</v>
      </c>
      <c r="D65" s="214">
        <f t="shared" si="34"/>
        <v>4999.34</v>
      </c>
      <c r="E65" s="215">
        <f t="shared" si="35"/>
        <v>23.48328451</v>
      </c>
      <c r="F65" s="216">
        <f t="shared" si="36"/>
        <v>714.1914286</v>
      </c>
      <c r="G65" s="217">
        <f>7</f>
        <v>7</v>
      </c>
      <c r="H65" s="218">
        <f>(1900)*I65</f>
        <v>13300</v>
      </c>
      <c r="I65" s="219">
        <f>7</f>
        <v>7</v>
      </c>
      <c r="J65" s="218">
        <f t="shared" si="37"/>
        <v>0</v>
      </c>
      <c r="K65" s="246">
        <f>2989.59</f>
        <v>2989.59</v>
      </c>
      <c r="L65" s="50">
        <f t="shared" si="40"/>
        <v>0</v>
      </c>
      <c r="M65" s="186"/>
      <c r="N65" s="52">
        <f t="shared" si="41"/>
        <v>0</v>
      </c>
      <c r="O65" s="53" t="str">
        <f t="shared" si="38"/>
        <v>#DIV/0!</v>
      </c>
      <c r="P65" s="54" t="str">
        <f t="shared" si="39"/>
        <v>#REF!</v>
      </c>
    </row>
    <row r="66">
      <c r="A66" s="24" t="s">
        <v>149</v>
      </c>
      <c r="B66" s="245">
        <f>2119.67+1798+16371.62</f>
        <v>20289.29</v>
      </c>
      <c r="C66" s="213">
        <f t="shared" si="33"/>
        <v>23068.21</v>
      </c>
      <c r="D66" s="214">
        <f t="shared" si="34"/>
        <v>-2778.92</v>
      </c>
      <c r="E66" s="215">
        <f t="shared" si="35"/>
        <v>-13.69648716</v>
      </c>
      <c r="F66" s="216">
        <f t="shared" si="36"/>
        <v>-213.7630769</v>
      </c>
      <c r="G66" s="217">
        <f>3+2+11</f>
        <v>16</v>
      </c>
      <c r="H66" s="218">
        <f t="shared" ref="H66:H67" si="42">(330)*I66</f>
        <v>4290</v>
      </c>
      <c r="I66" s="219">
        <f>2+2+9</f>
        <v>13</v>
      </c>
      <c r="J66" s="218">
        <f t="shared" si="37"/>
        <v>3</v>
      </c>
      <c r="K66" s="246">
        <f>(32.87+5410.15+1123.24+7596.4)-(3843.61-456.94+4190.82)</f>
        <v>6585.17</v>
      </c>
      <c r="L66" s="50">
        <f t="shared" si="40"/>
        <v>18.75</v>
      </c>
      <c r="M66" s="220">
        <f>8363.86+3829.18</f>
        <v>12193.04</v>
      </c>
      <c r="N66" s="52">
        <f t="shared" si="41"/>
        <v>2997</v>
      </c>
      <c r="O66" s="53">
        <f t="shared" si="38"/>
        <v>1.664005859</v>
      </c>
      <c r="P66" s="54" t="str">
        <f t="shared" si="39"/>
        <v>#REF!</v>
      </c>
    </row>
    <row r="67">
      <c r="A67" s="24" t="s">
        <v>157</v>
      </c>
      <c r="B67" s="245">
        <f>13685.26</f>
        <v>13685.26</v>
      </c>
      <c r="C67" s="213">
        <f t="shared" si="33"/>
        <v>13358.4</v>
      </c>
      <c r="D67" s="214">
        <f t="shared" si="34"/>
        <v>326.86</v>
      </c>
      <c r="E67" s="215">
        <f t="shared" si="35"/>
        <v>2.388409135</v>
      </c>
      <c r="F67" s="216">
        <f t="shared" si="36"/>
        <v>18.15888889</v>
      </c>
      <c r="G67" s="217">
        <f>19</f>
        <v>19</v>
      </c>
      <c r="H67" s="218">
        <f t="shared" si="42"/>
        <v>5940</v>
      </c>
      <c r="I67" s="219">
        <f>18</f>
        <v>18</v>
      </c>
      <c r="J67" s="218">
        <f t="shared" si="37"/>
        <v>1</v>
      </c>
      <c r="K67" s="246">
        <f>(22412.77)-(20373.05)</f>
        <v>2039.72</v>
      </c>
      <c r="L67" s="50">
        <f t="shared" si="40"/>
        <v>5.263157895</v>
      </c>
      <c r="M67" s="220">
        <v>5378.68</v>
      </c>
      <c r="N67" s="52">
        <f t="shared" si="41"/>
        <v>999</v>
      </c>
      <c r="O67" s="53">
        <f t="shared" si="38"/>
        <v>2.54435289</v>
      </c>
      <c r="P67" s="54"/>
    </row>
    <row r="68" ht="14.25" customHeight="1">
      <c r="A68" s="3" t="s">
        <v>38</v>
      </c>
      <c r="B68" s="68">
        <f t="shared" ref="B68:D68" si="43">SUM(B51:B67)</f>
        <v>3706463.63</v>
      </c>
      <c r="C68" s="68">
        <f t="shared" si="43"/>
        <v>2332950.89</v>
      </c>
      <c r="D68" s="53">
        <f t="shared" si="43"/>
        <v>1373512.74</v>
      </c>
      <c r="E68" s="252"/>
      <c r="F68" s="252"/>
      <c r="G68" s="41">
        <f t="shared" ref="G68:I68" si="44">SUM(G51:G67)</f>
        <v>4341</v>
      </c>
      <c r="H68" s="41">
        <f t="shared" si="44"/>
        <v>1169588</v>
      </c>
      <c r="I68" s="41">
        <f t="shared" si="44"/>
        <v>4028</v>
      </c>
      <c r="J68" s="3"/>
      <c r="K68" s="68">
        <f>SUM(K51:K67)</f>
        <v>650908.99</v>
      </c>
      <c r="L68" s="252"/>
      <c r="M68" s="68">
        <f>SUM(M51:M67)</f>
        <v>512453.9</v>
      </c>
      <c r="N68" s="3"/>
      <c r="O68" s="54"/>
    </row>
    <row r="71">
      <c r="A71" s="115" t="s">
        <v>40</v>
      </c>
      <c r="B71" s="116">
        <f>B68</f>
        <v>3706463.63</v>
      </c>
      <c r="C71" s="3"/>
      <c r="D71" s="3"/>
      <c r="E71" s="3"/>
      <c r="F71" s="3"/>
    </row>
    <row r="72">
      <c r="A72" s="117" t="s">
        <v>41</v>
      </c>
      <c r="B72" s="118">
        <f>H68</f>
        <v>1169588</v>
      </c>
      <c r="C72" s="3"/>
      <c r="D72" s="30" t="s">
        <v>39</v>
      </c>
      <c r="E72" s="3"/>
      <c r="F72" s="3"/>
    </row>
    <row r="73">
      <c r="A73" s="119" t="s">
        <v>143</v>
      </c>
      <c r="B73" s="120">
        <v>449509.0</v>
      </c>
      <c r="C73" s="3"/>
      <c r="D73" s="33" t="s">
        <v>41</v>
      </c>
      <c r="E73" s="34">
        <f>B72/I68</f>
        <v>290.3644489</v>
      </c>
      <c r="F73" s="59"/>
    </row>
    <row r="74">
      <c r="A74" s="119" t="s">
        <v>61</v>
      </c>
      <c r="B74" s="120">
        <v>201400.0</v>
      </c>
      <c r="C74" s="3"/>
      <c r="D74" s="33"/>
      <c r="E74" s="34"/>
      <c r="F74" s="59"/>
      <c r="H74" s="58"/>
    </row>
    <row r="75">
      <c r="A75" s="121" t="s">
        <v>44</v>
      </c>
      <c r="B75" s="122">
        <f>M68</f>
        <v>512453.9</v>
      </c>
      <c r="C75" s="3"/>
      <c r="D75" s="33" t="s">
        <v>42</v>
      </c>
      <c r="E75" s="34">
        <f>B75/I68</f>
        <v>127.2229146</v>
      </c>
      <c r="F75" s="59"/>
    </row>
    <row r="76">
      <c r="A76" s="123" t="s">
        <v>62</v>
      </c>
      <c r="B76" s="124">
        <f>B71-SUM(B72:B75)</f>
        <v>1373512.73</v>
      </c>
      <c r="C76" s="3"/>
      <c r="D76" s="33" t="s">
        <v>63</v>
      </c>
      <c r="E76" s="34">
        <f>B73/I68</f>
        <v>111.5960775</v>
      </c>
      <c r="F76" s="61"/>
    </row>
    <row r="77">
      <c r="A77" s="125" t="s">
        <v>47</v>
      </c>
      <c r="B77" s="126">
        <f>B76/B71*100</f>
        <v>37.0572294</v>
      </c>
      <c r="C77" s="3"/>
      <c r="D77" s="33" t="s">
        <v>45</v>
      </c>
      <c r="E77" s="34">
        <f>B71/I68</f>
        <v>920.1746847</v>
      </c>
      <c r="F77" s="3"/>
    </row>
    <row r="84">
      <c r="A84" s="1" t="s">
        <v>160</v>
      </c>
      <c r="B84" s="194" t="s">
        <v>64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>
      <c r="A85" s="3"/>
      <c r="B85" s="37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8" t="s">
        <v>49</v>
      </c>
      <c r="B86" s="176" t="s">
        <v>3</v>
      </c>
      <c r="C86" s="24" t="s">
        <v>4</v>
      </c>
      <c r="D86" s="24" t="s">
        <v>5</v>
      </c>
      <c r="E86" s="39" t="s">
        <v>6</v>
      </c>
      <c r="F86" s="24" t="s">
        <v>7</v>
      </c>
      <c r="G86" s="24" t="s">
        <v>9</v>
      </c>
      <c r="H86" s="24" t="s">
        <v>11</v>
      </c>
      <c r="I86" s="24" t="s">
        <v>12</v>
      </c>
      <c r="J86" s="24" t="s">
        <v>50</v>
      </c>
      <c r="K86" s="24" t="s">
        <v>65</v>
      </c>
      <c r="L86" s="39" t="s">
        <v>16</v>
      </c>
      <c r="M86" s="24" t="s">
        <v>52</v>
      </c>
      <c r="N86" s="3"/>
    </row>
    <row r="87">
      <c r="A87" s="42" t="s">
        <v>21</v>
      </c>
      <c r="B87" s="243">
        <f>14454+25865.05
</f>
        <v>40319.05</v>
      </c>
      <c r="C87" s="44">
        <f t="shared" ref="C87:C95" si="45">K87+H87</f>
        <v>12835</v>
      </c>
      <c r="D87" s="45">
        <f t="shared" ref="D87:D100" si="46">B87-C87</f>
        <v>27484.05</v>
      </c>
      <c r="E87" s="11">
        <f t="shared" ref="E87:E100" si="47">D87/B87*100</f>
        <v>68.16641265</v>
      </c>
      <c r="F87" s="46">
        <f t="shared" ref="F87:F100" si="48">D87/I87</f>
        <v>624.6375</v>
      </c>
      <c r="G87" s="253">
        <v>56.0</v>
      </c>
      <c r="H87" s="14">
        <f>220*I87</f>
        <v>9680</v>
      </c>
      <c r="I87" s="254">
        <f>19
+25</f>
        <v>44</v>
      </c>
      <c r="J87" s="14">
        <f t="shared" ref="J87:J100" si="49">G87-I87</f>
        <v>12</v>
      </c>
      <c r="K87" s="255">
        <v>3155.0</v>
      </c>
      <c r="L87" s="50">
        <f t="shared" ref="L87:L100" si="50">J87/G87*100</f>
        <v>21.42857143</v>
      </c>
      <c r="M87" s="28">
        <f>972+295
</f>
        <v>1267</v>
      </c>
      <c r="N87" s="3"/>
      <c r="P87" s="54"/>
    </row>
    <row r="88">
      <c r="A88" s="42" t="s">
        <v>23</v>
      </c>
      <c r="B88" s="243">
        <f>67932
+24024</f>
        <v>91956</v>
      </c>
      <c r="C88" s="44">
        <f t="shared" si="45"/>
        <v>43668</v>
      </c>
      <c r="D88" s="45">
        <f t="shared" si="46"/>
        <v>48288</v>
      </c>
      <c r="E88" s="11">
        <f t="shared" si="47"/>
        <v>52.51207099</v>
      </c>
      <c r="F88" s="46">
        <f t="shared" si="48"/>
        <v>435.027027</v>
      </c>
      <c r="G88" s="253">
        <v>141.0</v>
      </c>
      <c r="H88" s="14">
        <f>304*I88</f>
        <v>33744</v>
      </c>
      <c r="I88" s="254">
        <f>82
+29</f>
        <v>111</v>
      </c>
      <c r="J88" s="14">
        <f t="shared" si="49"/>
        <v>30</v>
      </c>
      <c r="K88" s="255">
        <f>9924</f>
        <v>9924</v>
      </c>
      <c r="L88" s="50">
        <f t="shared" si="50"/>
        <v>21.27659574</v>
      </c>
      <c r="M88" s="28">
        <f>1717
</f>
        <v>1717</v>
      </c>
      <c r="N88" s="3"/>
      <c r="P88" s="54"/>
    </row>
    <row r="89">
      <c r="A89" s="42" t="s">
        <v>25</v>
      </c>
      <c r="B89" s="243">
        <f>7688
</f>
        <v>7688</v>
      </c>
      <c r="C89" s="44">
        <f t="shared" si="45"/>
        <v>4866</v>
      </c>
      <c r="D89" s="45">
        <f t="shared" si="46"/>
        <v>2822</v>
      </c>
      <c r="E89" s="11">
        <f t="shared" si="47"/>
        <v>36.70655567</v>
      </c>
      <c r="F89" s="46">
        <f t="shared" si="48"/>
        <v>470.3333333</v>
      </c>
      <c r="G89" s="253">
        <f>10</f>
        <v>10</v>
      </c>
      <c r="H89" s="14">
        <f> 662*I89</f>
        <v>3972</v>
      </c>
      <c r="I89" s="254">
        <f>6</f>
        <v>6</v>
      </c>
      <c r="J89" s="14">
        <f t="shared" si="49"/>
        <v>4</v>
      </c>
      <c r="K89" s="255">
        <v>894.0</v>
      </c>
      <c r="L89" s="50">
        <f t="shared" si="50"/>
        <v>40</v>
      </c>
      <c r="M89" s="28">
        <f>126
</f>
        <v>126</v>
      </c>
      <c r="N89" s="3"/>
      <c r="P89" s="54"/>
    </row>
    <row r="90">
      <c r="A90" s="42" t="s">
        <v>26</v>
      </c>
      <c r="B90" s="243">
        <f>47933+1464
</f>
        <v>49397</v>
      </c>
      <c r="C90" s="44">
        <f t="shared" si="45"/>
        <v>35225</v>
      </c>
      <c r="D90" s="45">
        <f t="shared" si="46"/>
        <v>14172</v>
      </c>
      <c r="E90" s="11">
        <f t="shared" si="47"/>
        <v>28.69000142</v>
      </c>
      <c r="F90" s="46">
        <f t="shared" si="48"/>
        <v>110.71875</v>
      </c>
      <c r="G90" s="253">
        <f>194+4</f>
        <v>198</v>
      </c>
      <c r="H90" s="14">
        <f>184*I90</f>
        <v>23552</v>
      </c>
      <c r="I90" s="254">
        <f>126+2</f>
        <v>128</v>
      </c>
      <c r="J90" s="14">
        <f t="shared" si="49"/>
        <v>70</v>
      </c>
      <c r="K90" s="255">
        <f>11673</f>
        <v>11673</v>
      </c>
      <c r="L90" s="50">
        <f t="shared" si="50"/>
        <v>35.35353535</v>
      </c>
      <c r="M90" s="28">
        <f>3024+242</f>
        <v>3266</v>
      </c>
      <c r="N90" s="3"/>
      <c r="P90" s="54"/>
    </row>
    <row r="91">
      <c r="A91" s="42" t="s">
        <v>54</v>
      </c>
      <c r="B91" s="243">
        <f>2160
</f>
        <v>2160</v>
      </c>
      <c r="C91" s="44">
        <f t="shared" si="45"/>
        <v>2184</v>
      </c>
      <c r="D91" s="45">
        <f t="shared" si="46"/>
        <v>-24</v>
      </c>
      <c r="E91" s="11">
        <f t="shared" si="47"/>
        <v>-1.111111111</v>
      </c>
      <c r="F91" s="46">
        <f t="shared" si="48"/>
        <v>-4.8</v>
      </c>
      <c r="G91" s="253">
        <f>9</f>
        <v>9</v>
      </c>
      <c r="H91" s="14">
        <f>270*I91</f>
        <v>1350</v>
      </c>
      <c r="I91" s="254">
        <f>5</f>
        <v>5</v>
      </c>
      <c r="J91" s="14">
        <f t="shared" si="49"/>
        <v>4</v>
      </c>
      <c r="K91" s="255">
        <v>834.0</v>
      </c>
      <c r="L91" s="50">
        <f t="shared" si="50"/>
        <v>44.44444444</v>
      </c>
      <c r="M91" s="28">
        <f>1207
</f>
        <v>1207</v>
      </c>
      <c r="N91" s="3"/>
      <c r="P91" s="54"/>
    </row>
    <row r="92">
      <c r="A92" s="42" t="s">
        <v>29</v>
      </c>
      <c r="B92" s="243">
        <f>22370
+45712.61</f>
        <v>68082.61</v>
      </c>
      <c r="C92" s="44">
        <f t="shared" si="45"/>
        <v>25631</v>
      </c>
      <c r="D92" s="45">
        <f t="shared" si="46"/>
        <v>42451.61</v>
      </c>
      <c r="E92" s="11">
        <f t="shared" si="47"/>
        <v>62.3530884</v>
      </c>
      <c r="F92" s="46">
        <f t="shared" si="48"/>
        <v>606.4515714</v>
      </c>
      <c r="G92" s="253">
        <v>85.0</v>
      </c>
      <c r="H92" s="14">
        <f>308*I92</f>
        <v>21560</v>
      </c>
      <c r="I92" s="254">
        <f>23
+47</f>
        <v>70</v>
      </c>
      <c r="J92" s="14">
        <f t="shared" si="49"/>
        <v>15</v>
      </c>
      <c r="K92" s="255">
        <v>4071.0</v>
      </c>
      <c r="L92" s="50">
        <f t="shared" si="50"/>
        <v>17.64705882</v>
      </c>
      <c r="M92" s="28">
        <f>1206
</f>
        <v>1206</v>
      </c>
      <c r="N92" s="3"/>
      <c r="P92" s="54"/>
    </row>
    <row r="93">
      <c r="A93" s="42" t="s">
        <v>31</v>
      </c>
      <c r="B93" s="243">
        <f>2955
</f>
        <v>2955</v>
      </c>
      <c r="C93" s="44">
        <f t="shared" si="45"/>
        <v>1756</v>
      </c>
      <c r="D93" s="45">
        <f t="shared" si="46"/>
        <v>1199</v>
      </c>
      <c r="E93" s="11">
        <f t="shared" si="47"/>
        <v>40.57529611</v>
      </c>
      <c r="F93" s="46">
        <f t="shared" si="48"/>
        <v>399.6666667</v>
      </c>
      <c r="G93" s="253">
        <f>4
</f>
        <v>4</v>
      </c>
      <c r="H93" s="14">
        <f>435*I93</f>
        <v>1305</v>
      </c>
      <c r="I93" s="254">
        <f>3</f>
        <v>3</v>
      </c>
      <c r="J93" s="14">
        <f t="shared" si="49"/>
        <v>1</v>
      </c>
      <c r="K93" s="255">
        <v>451.0</v>
      </c>
      <c r="L93" s="50">
        <f t="shared" si="50"/>
        <v>25</v>
      </c>
      <c r="M93" s="28">
        <f>137
</f>
        <v>137</v>
      </c>
      <c r="N93" s="3"/>
      <c r="P93" s="54"/>
    </row>
    <row r="94">
      <c r="A94" s="42" t="s">
        <v>66</v>
      </c>
      <c r="B94" s="243">
        <f>496
</f>
        <v>496</v>
      </c>
      <c r="C94" s="44">
        <f t="shared" si="45"/>
        <v>237</v>
      </c>
      <c r="D94" s="45">
        <f t="shared" si="46"/>
        <v>259</v>
      </c>
      <c r="E94" s="11">
        <f t="shared" si="47"/>
        <v>52.21774194</v>
      </c>
      <c r="F94" s="46">
        <f t="shared" si="48"/>
        <v>259</v>
      </c>
      <c r="G94" s="253">
        <f>3</f>
        <v>3</v>
      </c>
      <c r="H94" s="14">
        <f>200*I94</f>
        <v>200</v>
      </c>
      <c r="I94" s="254">
        <f>1</f>
        <v>1</v>
      </c>
      <c r="J94" s="14">
        <f t="shared" si="49"/>
        <v>2</v>
      </c>
      <c r="K94" s="255">
        <v>37.0</v>
      </c>
      <c r="L94" s="50">
        <f t="shared" si="50"/>
        <v>66.66666667</v>
      </c>
      <c r="M94" s="28">
        <f>428</f>
        <v>428</v>
      </c>
      <c r="N94" s="3"/>
      <c r="P94" s="54"/>
    </row>
    <row r="95">
      <c r="A95" s="42" t="s">
        <v>33</v>
      </c>
      <c r="B95" s="243">
        <f>26604+1563</f>
        <v>28167</v>
      </c>
      <c r="C95" s="44">
        <f t="shared" si="45"/>
        <v>19755</v>
      </c>
      <c r="D95" s="45">
        <f t="shared" si="46"/>
        <v>8412</v>
      </c>
      <c r="E95" s="11">
        <f t="shared" si="47"/>
        <v>29.86473533</v>
      </c>
      <c r="F95" s="46">
        <f t="shared" si="48"/>
        <v>442.7368421</v>
      </c>
      <c r="G95" s="253">
        <f>32+3</f>
        <v>35</v>
      </c>
      <c r="H95" s="14">
        <f>778*I95</f>
        <v>14782</v>
      </c>
      <c r="I95" s="254">
        <f>18+1</f>
        <v>19</v>
      </c>
      <c r="J95" s="14">
        <f t="shared" si="49"/>
        <v>16</v>
      </c>
      <c r="K95" s="255">
        <f>4355+618</f>
        <v>4973</v>
      </c>
      <c r="L95" s="50">
        <f t="shared" si="50"/>
        <v>45.71428571</v>
      </c>
      <c r="M95" s="28">
        <f>248</f>
        <v>248</v>
      </c>
      <c r="N95" s="3"/>
      <c r="P95" s="54"/>
      <c r="X95" s="3"/>
    </row>
    <row r="96">
      <c r="A96" s="24" t="s">
        <v>131</v>
      </c>
      <c r="B96" s="256">
        <f>6660
</f>
        <v>6660</v>
      </c>
      <c r="C96" s="213">
        <f>K96+H96+M96</f>
        <v>4027</v>
      </c>
      <c r="D96" s="214">
        <f t="shared" si="46"/>
        <v>2633</v>
      </c>
      <c r="E96" s="215">
        <f t="shared" si="47"/>
        <v>39.53453453</v>
      </c>
      <c r="F96" s="216">
        <f t="shared" si="48"/>
        <v>526.6</v>
      </c>
      <c r="G96" s="249">
        <f>12</f>
        <v>12</v>
      </c>
      <c r="H96" s="218">
        <f>(330)*I96</f>
        <v>1650</v>
      </c>
      <c r="I96" s="250">
        <f>5</f>
        <v>5</v>
      </c>
      <c r="J96" s="218">
        <f t="shared" si="49"/>
        <v>7</v>
      </c>
      <c r="K96" s="257">
        <v>2063.0</v>
      </c>
      <c r="L96" s="50">
        <f t="shared" si="50"/>
        <v>58.33333333</v>
      </c>
      <c r="M96" s="186">
        <f>314
</f>
        <v>314</v>
      </c>
      <c r="N96" s="52">
        <f>J96*999</f>
        <v>6993</v>
      </c>
      <c r="O96" s="3"/>
    </row>
    <row r="97">
      <c r="A97" s="42" t="s">
        <v>158</v>
      </c>
      <c r="B97" s="243">
        <v>0.0</v>
      </c>
      <c r="C97" s="44">
        <f t="shared" ref="C97:C100" si="51">K97+H97</f>
        <v>6</v>
      </c>
      <c r="D97" s="45">
        <f t="shared" si="46"/>
        <v>-6</v>
      </c>
      <c r="E97" s="11" t="str">
        <f t="shared" si="47"/>
        <v>#DIV/0!</v>
      </c>
      <c r="F97" s="46" t="str">
        <f t="shared" si="48"/>
        <v>#DIV/0!</v>
      </c>
      <c r="G97" s="253">
        <v>1.0</v>
      </c>
      <c r="H97" s="14">
        <f>(220+350)*I97</f>
        <v>0</v>
      </c>
      <c r="I97" s="254">
        <v>0.0</v>
      </c>
      <c r="J97" s="14">
        <f t="shared" si="49"/>
        <v>1</v>
      </c>
      <c r="K97" s="255">
        <v>6.0</v>
      </c>
      <c r="L97" s="50">
        <f t="shared" si="50"/>
        <v>100</v>
      </c>
      <c r="M97" s="28"/>
      <c r="N97" s="3"/>
      <c r="P97" s="54"/>
      <c r="X97" s="3"/>
    </row>
    <row r="98">
      <c r="A98" s="42" t="s">
        <v>55</v>
      </c>
      <c r="B98" s="243">
        <f>10152
</f>
        <v>10152</v>
      </c>
      <c r="C98" s="44">
        <f t="shared" si="51"/>
        <v>5181</v>
      </c>
      <c r="D98" s="45">
        <f t="shared" si="46"/>
        <v>4971</v>
      </c>
      <c r="E98" s="11">
        <f t="shared" si="47"/>
        <v>48.96572104</v>
      </c>
      <c r="F98" s="46">
        <f t="shared" si="48"/>
        <v>552.3333333</v>
      </c>
      <c r="G98" s="253">
        <f>15
</f>
        <v>15</v>
      </c>
      <c r="H98" s="14">
        <f>(220+184)*I98</f>
        <v>3636</v>
      </c>
      <c r="I98" s="254">
        <f>9</f>
        <v>9</v>
      </c>
      <c r="J98" s="14">
        <f t="shared" si="49"/>
        <v>6</v>
      </c>
      <c r="K98" s="255">
        <v>1545.0</v>
      </c>
      <c r="L98" s="50">
        <f t="shared" si="50"/>
        <v>40</v>
      </c>
      <c r="M98" s="28">
        <f>437
</f>
        <v>437</v>
      </c>
      <c r="N98" s="3"/>
      <c r="P98" s="54"/>
      <c r="X98" s="3"/>
    </row>
    <row r="99">
      <c r="A99" s="42" t="s">
        <v>68</v>
      </c>
      <c r="B99" s="243">
        <f>22343
</f>
        <v>22343</v>
      </c>
      <c r="C99" s="44">
        <f t="shared" si="51"/>
        <v>11810</v>
      </c>
      <c r="D99" s="45">
        <f t="shared" si="46"/>
        <v>10533</v>
      </c>
      <c r="E99" s="11">
        <f t="shared" si="47"/>
        <v>47.1422817</v>
      </c>
      <c r="F99" s="46">
        <f t="shared" si="48"/>
        <v>810.2307692</v>
      </c>
      <c r="G99" s="253">
        <f>20
</f>
        <v>20</v>
      </c>
      <c r="H99" s="14">
        <f>(304+308)*I99</f>
        <v>7956</v>
      </c>
      <c r="I99" s="254">
        <f t="shared" ref="I99:I100" si="52">13
</f>
        <v>13</v>
      </c>
      <c r="J99" s="14">
        <f t="shared" si="49"/>
        <v>7</v>
      </c>
      <c r="K99" s="255">
        <v>3854.0</v>
      </c>
      <c r="L99" s="50">
        <f t="shared" si="50"/>
        <v>35</v>
      </c>
      <c r="M99" s="28">
        <f>3370
</f>
        <v>3370</v>
      </c>
      <c r="N99" s="3"/>
      <c r="P99" s="54"/>
      <c r="U99" s="3"/>
      <c r="V99" s="3"/>
      <c r="W99" s="3"/>
      <c r="X99" s="3"/>
    </row>
    <row r="100">
      <c r="A100" s="42" t="s">
        <v>56</v>
      </c>
      <c r="B100" s="243">
        <f>21255
</f>
        <v>21255</v>
      </c>
      <c r="C100" s="44">
        <f t="shared" si="51"/>
        <v>9888</v>
      </c>
      <c r="D100" s="45">
        <f t="shared" si="46"/>
        <v>11367</v>
      </c>
      <c r="E100" s="11">
        <f t="shared" si="47"/>
        <v>53.47918137</v>
      </c>
      <c r="F100" s="46">
        <f t="shared" si="48"/>
        <v>874.3846154</v>
      </c>
      <c r="G100" s="253">
        <f>21
</f>
        <v>21</v>
      </c>
      <c r="H100" s="14">
        <f>(220+304)*I100</f>
        <v>6812</v>
      </c>
      <c r="I100" s="254">
        <f t="shared" si="52"/>
        <v>13</v>
      </c>
      <c r="J100" s="14">
        <f t="shared" si="49"/>
        <v>8</v>
      </c>
      <c r="K100" s="255">
        <v>3076.0</v>
      </c>
      <c r="L100" s="50">
        <f t="shared" si="50"/>
        <v>38.0952381</v>
      </c>
      <c r="M100" s="28">
        <f>2584
</f>
        <v>2584</v>
      </c>
      <c r="N100" s="3"/>
      <c r="P100" s="54"/>
      <c r="U100" s="3"/>
      <c r="V100" s="3"/>
      <c r="W100" s="3"/>
      <c r="X100" s="3"/>
    </row>
    <row r="101">
      <c r="A101" s="3"/>
      <c r="B101" s="57">
        <f t="shared" ref="B101:D101" si="53">SUM(B87:B100)</f>
        <v>351630.66</v>
      </c>
      <c r="C101" s="41">
        <f t="shared" si="53"/>
        <v>177069</v>
      </c>
      <c r="D101" s="53">
        <f t="shared" si="53"/>
        <v>174561.66</v>
      </c>
      <c r="E101" s="3"/>
      <c r="F101" s="3"/>
      <c r="G101" s="41">
        <f t="shared" ref="G101:K101" si="54">SUM(G87:G100)</f>
        <v>610</v>
      </c>
      <c r="H101" s="41">
        <f t="shared" si="54"/>
        <v>130199</v>
      </c>
      <c r="I101" s="41">
        <f t="shared" si="54"/>
        <v>427</v>
      </c>
      <c r="J101" s="41">
        <f t="shared" si="54"/>
        <v>183</v>
      </c>
      <c r="K101" s="41">
        <f t="shared" si="54"/>
        <v>46556</v>
      </c>
      <c r="L101" s="3"/>
      <c r="M101" s="258">
        <f>SUM(M87:M100)</f>
        <v>16307</v>
      </c>
      <c r="N101" s="3"/>
      <c r="P101" s="54"/>
      <c r="U101" s="3"/>
      <c r="V101" s="3"/>
      <c r="W101" s="3"/>
      <c r="X101" s="3"/>
    </row>
    <row r="102">
      <c r="P102" s="54"/>
      <c r="U102" s="3"/>
      <c r="V102" s="3"/>
      <c r="W102" s="3"/>
      <c r="X102" s="3"/>
    </row>
    <row r="103">
      <c r="P103" s="54"/>
      <c r="U103" s="3"/>
      <c r="V103" s="3"/>
      <c r="W103" s="3"/>
      <c r="X103" s="3"/>
    </row>
    <row r="104">
      <c r="A104" s="31" t="s">
        <v>40</v>
      </c>
      <c r="B104" s="36">
        <f>B101</f>
        <v>351630.66</v>
      </c>
      <c r="C104" s="3"/>
      <c r="D104" s="3"/>
      <c r="E104" s="3"/>
      <c r="U104" s="3"/>
      <c r="V104" s="3"/>
      <c r="W104" s="3"/>
    </row>
    <row r="105">
      <c r="A105" s="31" t="s">
        <v>41</v>
      </c>
      <c r="B105" s="36">
        <f>H101</f>
        <v>130199</v>
      </c>
      <c r="C105" s="3"/>
      <c r="D105" s="30"/>
      <c r="E105" s="3"/>
      <c r="U105" s="3"/>
      <c r="V105" s="3"/>
      <c r="W105" s="3"/>
    </row>
    <row r="106">
      <c r="A106" s="31" t="s">
        <v>69</v>
      </c>
      <c r="B106" s="36">
        <f>K101</f>
        <v>46556</v>
      </c>
      <c r="C106" s="3"/>
      <c r="D106" s="33" t="s">
        <v>41</v>
      </c>
      <c r="E106" s="34">
        <f t="shared" ref="E106:E109" si="55">B105/$I$101</f>
        <v>304.9156909</v>
      </c>
      <c r="U106" s="3"/>
      <c r="V106" s="3"/>
      <c r="W106" s="3"/>
    </row>
    <row r="107">
      <c r="A107" s="31" t="s">
        <v>44</v>
      </c>
      <c r="B107" s="36">
        <f>M101</f>
        <v>16307</v>
      </c>
      <c r="C107" s="3"/>
      <c r="D107" s="33" t="s">
        <v>42</v>
      </c>
      <c r="E107" s="34">
        <f t="shared" si="55"/>
        <v>109.030445</v>
      </c>
    </row>
    <row r="108">
      <c r="A108" s="31" t="s">
        <v>62</v>
      </c>
      <c r="B108" s="36">
        <f>B104-SUM(B105:B107)</f>
        <v>158568.66</v>
      </c>
      <c r="C108" s="3"/>
      <c r="D108" s="33" t="s">
        <v>63</v>
      </c>
      <c r="E108" s="34">
        <f t="shared" si="55"/>
        <v>38.18969555</v>
      </c>
    </row>
    <row r="109">
      <c r="A109" s="31" t="s">
        <v>47</v>
      </c>
      <c r="B109" s="62">
        <f>B108/B104*100</f>
        <v>45.09523146</v>
      </c>
      <c r="C109" s="3"/>
      <c r="D109" s="33" t="s">
        <v>45</v>
      </c>
      <c r="E109" s="34">
        <f t="shared" si="55"/>
        <v>371.3551756</v>
      </c>
    </row>
    <row r="114">
      <c r="A114" s="1" t="s">
        <v>160</v>
      </c>
      <c r="B114" s="2" t="s">
        <v>70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S114" s="3"/>
      <c r="T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S115" s="3"/>
      <c r="T115" s="3"/>
    </row>
    <row r="116">
      <c r="A116" s="38" t="s">
        <v>49</v>
      </c>
      <c r="B116" s="24" t="s">
        <v>3</v>
      </c>
      <c r="C116" s="24" t="s">
        <v>4</v>
      </c>
      <c r="D116" s="24" t="s">
        <v>5</v>
      </c>
      <c r="E116" s="39" t="s">
        <v>6</v>
      </c>
      <c r="F116" s="24" t="s">
        <v>7</v>
      </c>
      <c r="G116" s="24" t="s">
        <v>71</v>
      </c>
      <c r="H116" s="24" t="s">
        <v>9</v>
      </c>
      <c r="I116" s="24" t="s">
        <v>72</v>
      </c>
      <c r="J116" s="24" t="s">
        <v>73</v>
      </c>
      <c r="K116" s="28" t="s">
        <v>43</v>
      </c>
      <c r="L116" s="3"/>
      <c r="M116" s="3"/>
      <c r="N116" s="3"/>
      <c r="S116" s="3"/>
      <c r="T116" s="3"/>
    </row>
    <row r="117">
      <c r="A117" s="42" t="s">
        <v>21</v>
      </c>
      <c r="B117" s="43">
        <f>689*H117</f>
        <v>158470</v>
      </c>
      <c r="C117" s="63">
        <f t="shared" ref="C117:C120" si="56">J117+G117+I117+K117</f>
        <v>55200</v>
      </c>
      <c r="D117" s="45">
        <f t="shared" ref="D117:D120" si="57">B117-C117</f>
        <v>103270</v>
      </c>
      <c r="E117" s="11">
        <f t="shared" ref="E117:E120" si="58">D117/B117*100</f>
        <v>65.16690856</v>
      </c>
      <c r="F117" s="46">
        <f t="shared" ref="F117:F120" si="59">D117/H117</f>
        <v>449</v>
      </c>
      <c r="G117" s="14">
        <f>220*H117</f>
        <v>50600</v>
      </c>
      <c r="H117" s="48">
        <v>230.0</v>
      </c>
      <c r="I117" s="14">
        <v>0.0</v>
      </c>
      <c r="J117" s="64">
        <v>0.0</v>
      </c>
      <c r="K117" s="65">
        <f t="shared" ref="K117:K120" si="60">20*H117</f>
        <v>4600</v>
      </c>
      <c r="L117" s="53"/>
      <c r="M117" s="41">
        <v>59209.0</v>
      </c>
      <c r="N117" s="3"/>
      <c r="S117" s="3"/>
      <c r="T117" s="3"/>
    </row>
    <row r="118">
      <c r="A118" s="42" t="s">
        <v>26</v>
      </c>
      <c r="B118" s="43">
        <f>359*H118</f>
        <v>80057</v>
      </c>
      <c r="C118" s="63">
        <f t="shared" si="56"/>
        <v>45492</v>
      </c>
      <c r="D118" s="45">
        <f t="shared" si="57"/>
        <v>34565</v>
      </c>
      <c r="E118" s="11">
        <f t="shared" si="58"/>
        <v>43.17548747</v>
      </c>
      <c r="F118" s="46">
        <f t="shared" si="59"/>
        <v>155</v>
      </c>
      <c r="G118" s="14">
        <f>184*H118</f>
        <v>41032</v>
      </c>
      <c r="H118" s="48">
        <v>223.0</v>
      </c>
      <c r="I118" s="14">
        <v>0.0</v>
      </c>
      <c r="J118" s="64">
        <v>0.0</v>
      </c>
      <c r="K118" s="65">
        <f t="shared" si="60"/>
        <v>4460</v>
      </c>
      <c r="L118" s="53"/>
      <c r="M118" s="3"/>
      <c r="N118" s="3"/>
      <c r="S118" s="3"/>
      <c r="T118" s="3"/>
    </row>
    <row r="119">
      <c r="A119" s="42" t="s">
        <v>23</v>
      </c>
      <c r="B119" s="43">
        <f>781*H119</f>
        <v>119493</v>
      </c>
      <c r="C119" s="44">
        <f t="shared" si="56"/>
        <v>49572</v>
      </c>
      <c r="D119" s="45">
        <f t="shared" si="57"/>
        <v>69921</v>
      </c>
      <c r="E119" s="11">
        <f t="shared" si="58"/>
        <v>58.51472471</v>
      </c>
      <c r="F119" s="46">
        <f t="shared" si="59"/>
        <v>457</v>
      </c>
      <c r="G119" s="14">
        <f>304*H119</f>
        <v>46512</v>
      </c>
      <c r="H119" s="48">
        <v>153.0</v>
      </c>
      <c r="I119" s="14">
        <v>0.0</v>
      </c>
      <c r="J119" s="66">
        <f t="shared" ref="J119:J120" si="61">L119%*M119</f>
        <v>0</v>
      </c>
      <c r="K119" s="65">
        <f t="shared" si="60"/>
        <v>3060</v>
      </c>
      <c r="L119" s="3"/>
      <c r="M119" s="3"/>
      <c r="N119" s="3"/>
      <c r="S119" s="3"/>
      <c r="T119" s="3"/>
    </row>
    <row r="120">
      <c r="A120" s="42" t="s">
        <v>29</v>
      </c>
      <c r="B120" s="43">
        <f>843*H120</f>
        <v>153426</v>
      </c>
      <c r="C120" s="44">
        <f t="shared" si="56"/>
        <v>59696</v>
      </c>
      <c r="D120" s="45">
        <f t="shared" si="57"/>
        <v>93730</v>
      </c>
      <c r="E120" s="11">
        <f t="shared" si="58"/>
        <v>61.09134045</v>
      </c>
      <c r="F120" s="46">
        <f t="shared" si="59"/>
        <v>515</v>
      </c>
      <c r="G120" s="14">
        <f>308*H120</f>
        <v>56056</v>
      </c>
      <c r="H120" s="48">
        <v>182.0</v>
      </c>
      <c r="I120" s="14">
        <v>0.0</v>
      </c>
      <c r="J120" s="66">
        <f t="shared" si="61"/>
        <v>0</v>
      </c>
      <c r="K120" s="65">
        <f t="shared" si="60"/>
        <v>3640</v>
      </c>
      <c r="L120" s="3"/>
      <c r="M120" s="3"/>
      <c r="N120" s="3"/>
      <c r="S120" s="3"/>
      <c r="T120" s="3"/>
    </row>
    <row r="121">
      <c r="A121" s="3"/>
      <c r="B121" s="41">
        <f t="shared" ref="B121:H121" si="62">SUM(B117:B120)</f>
        <v>511446</v>
      </c>
      <c r="C121" s="67">
        <f t="shared" si="62"/>
        <v>209960</v>
      </c>
      <c r="D121" s="53">
        <f t="shared" si="62"/>
        <v>301486</v>
      </c>
      <c r="E121" s="68">
        <f t="shared" si="62"/>
        <v>227.9484612</v>
      </c>
      <c r="F121" s="68">
        <f t="shared" si="62"/>
        <v>1576</v>
      </c>
      <c r="G121" s="41">
        <f t="shared" si="62"/>
        <v>194200</v>
      </c>
      <c r="H121" s="41">
        <f t="shared" si="62"/>
        <v>788</v>
      </c>
      <c r="I121" s="41"/>
      <c r="J121" s="67">
        <f>162565</f>
        <v>162565</v>
      </c>
      <c r="K121" s="41">
        <f>SUM(K117:K120)</f>
        <v>15760</v>
      </c>
      <c r="L121" s="3"/>
      <c r="M121" s="3"/>
      <c r="N121" s="3"/>
      <c r="O121" s="3"/>
      <c r="P121" s="3"/>
      <c r="Q121" s="3"/>
      <c r="R121" s="3"/>
      <c r="S121" s="3"/>
      <c r="T121" s="3"/>
      <c r="Y121" s="3"/>
      <c r="Z121" s="3"/>
    </row>
    <row r="124">
      <c r="A124" s="31" t="s">
        <v>40</v>
      </c>
      <c r="B124" s="32">
        <f>B121</f>
        <v>511446</v>
      </c>
      <c r="C124" s="3"/>
      <c r="D124" s="101" t="s">
        <v>39</v>
      </c>
      <c r="E124" s="28" t="s">
        <v>150</v>
      </c>
    </row>
    <row r="125">
      <c r="A125" s="31" t="s">
        <v>41</v>
      </c>
      <c r="B125" s="32">
        <f>G121</f>
        <v>194200</v>
      </c>
      <c r="C125" s="3"/>
      <c r="D125" s="33" t="s">
        <v>41</v>
      </c>
      <c r="E125" s="34">
        <f>B125/H121</f>
        <v>246.4467005</v>
      </c>
    </row>
    <row r="126">
      <c r="A126" s="31" t="s">
        <v>74</v>
      </c>
      <c r="B126" s="32">
        <f>K121</f>
        <v>15760</v>
      </c>
      <c r="C126" s="3"/>
      <c r="D126" s="33" t="s">
        <v>42</v>
      </c>
      <c r="E126" s="34">
        <f>B127/H121</f>
        <v>206.3007614</v>
      </c>
    </row>
    <row r="127">
      <c r="A127" s="31" t="s">
        <v>75</v>
      </c>
      <c r="B127" s="62">
        <f>J121</f>
        <v>162565</v>
      </c>
      <c r="C127" s="3"/>
      <c r="D127" s="69" t="s">
        <v>43</v>
      </c>
      <c r="E127" s="34">
        <f>K121/H121</f>
        <v>20</v>
      </c>
    </row>
    <row r="128">
      <c r="A128" s="31" t="s">
        <v>62</v>
      </c>
      <c r="B128" s="32">
        <f>B124-SUM(B125:B127)</f>
        <v>138921</v>
      </c>
      <c r="C128" s="3"/>
      <c r="D128" s="33" t="s">
        <v>45</v>
      </c>
      <c r="E128" s="34">
        <f>B124/H121</f>
        <v>649.0431472</v>
      </c>
    </row>
    <row r="129">
      <c r="A129" s="31" t="s">
        <v>47</v>
      </c>
      <c r="B129" s="62">
        <f>B128/B124*100</f>
        <v>27.16239838</v>
      </c>
      <c r="C129" s="3"/>
      <c r="D129" s="3"/>
      <c r="E129" s="3"/>
    </row>
    <row r="133">
      <c r="X133" s="3"/>
    </row>
    <row r="134">
      <c r="X134" s="3"/>
    </row>
    <row r="135">
      <c r="A135" s="1" t="s">
        <v>160</v>
      </c>
      <c r="B135" s="2" t="s">
        <v>76</v>
      </c>
      <c r="C135" s="3"/>
      <c r="D135" s="3"/>
      <c r="E135" s="3"/>
      <c r="F135" s="3"/>
      <c r="G135" s="3"/>
      <c r="H135" s="3"/>
      <c r="I135" s="3"/>
      <c r="J135" s="3"/>
      <c r="K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U136" s="3"/>
      <c r="V136" s="3"/>
      <c r="W136" s="3"/>
    </row>
    <row r="137">
      <c r="A137" s="38" t="s">
        <v>49</v>
      </c>
      <c r="B137" s="24" t="s">
        <v>3</v>
      </c>
      <c r="C137" s="24" t="s">
        <v>4</v>
      </c>
      <c r="D137" s="24" t="s">
        <v>5</v>
      </c>
      <c r="E137" s="39" t="s">
        <v>6</v>
      </c>
      <c r="F137" s="24" t="s">
        <v>7</v>
      </c>
      <c r="G137" s="24" t="s">
        <v>71</v>
      </c>
      <c r="H137" s="24" t="s">
        <v>9</v>
      </c>
      <c r="I137" s="24" t="s">
        <v>77</v>
      </c>
      <c r="J137" s="24" t="s">
        <v>73</v>
      </c>
      <c r="K137" s="28" t="s">
        <v>43</v>
      </c>
      <c r="U137" s="3"/>
      <c r="V137" s="3"/>
      <c r="W137" s="3"/>
    </row>
    <row r="138">
      <c r="A138" s="42" t="s">
        <v>21</v>
      </c>
      <c r="B138" s="43">
        <f>727*H138</f>
        <v>133041</v>
      </c>
      <c r="C138" s="44">
        <f t="shared" ref="C138:C140" si="63">J138+G138+I138+K138</f>
        <v>43920</v>
      </c>
      <c r="D138" s="45">
        <f t="shared" ref="D138:D141" si="64">B138-C138</f>
        <v>89121</v>
      </c>
      <c r="E138" s="11">
        <f t="shared" ref="E138:E140" si="65">D138/B138*100</f>
        <v>66.98762036</v>
      </c>
      <c r="F138" s="46">
        <f t="shared" ref="F138:F140" si="66">D138/H138</f>
        <v>487</v>
      </c>
      <c r="G138" s="14">
        <f>220*H138</f>
        <v>40260</v>
      </c>
      <c r="H138" s="48">
        <v>183.0</v>
      </c>
      <c r="I138" s="14">
        <v>0.0</v>
      </c>
      <c r="J138" s="66">
        <v>0.0</v>
      </c>
      <c r="K138" s="65">
        <f t="shared" ref="K138:K140" si="67">20*H138</f>
        <v>3660</v>
      </c>
    </row>
    <row r="139">
      <c r="A139" s="42" t="s">
        <v>26</v>
      </c>
      <c r="B139" s="43">
        <f>385*H139</f>
        <v>66220</v>
      </c>
      <c r="C139" s="44">
        <f t="shared" si="63"/>
        <v>35088</v>
      </c>
      <c r="D139" s="45">
        <f t="shared" si="64"/>
        <v>31132</v>
      </c>
      <c r="E139" s="11">
        <f t="shared" si="65"/>
        <v>47.01298701</v>
      </c>
      <c r="F139" s="46">
        <f t="shared" si="66"/>
        <v>181</v>
      </c>
      <c r="G139" s="14">
        <f>184*H139</f>
        <v>31648</v>
      </c>
      <c r="H139" s="48">
        <v>172.0</v>
      </c>
      <c r="I139" s="14">
        <v>0.0</v>
      </c>
      <c r="J139" s="66">
        <v>0.0</v>
      </c>
      <c r="K139" s="65">
        <f t="shared" si="67"/>
        <v>3440</v>
      </c>
    </row>
    <row r="140">
      <c r="A140" s="42" t="s">
        <v>23</v>
      </c>
      <c r="B140" s="43">
        <f>801*H140</f>
        <v>121752</v>
      </c>
      <c r="C140" s="44">
        <f t="shared" si="63"/>
        <v>50008</v>
      </c>
      <c r="D140" s="45">
        <f t="shared" si="64"/>
        <v>71744</v>
      </c>
      <c r="E140" s="11">
        <f t="shared" si="65"/>
        <v>58.92634207</v>
      </c>
      <c r="F140" s="46">
        <f t="shared" si="66"/>
        <v>472</v>
      </c>
      <c r="G140" s="14">
        <f>309*H140</f>
        <v>46968</v>
      </c>
      <c r="H140" s="48">
        <v>152.0</v>
      </c>
      <c r="I140" s="14">
        <v>0.0</v>
      </c>
      <c r="J140" s="66">
        <v>0.0</v>
      </c>
      <c r="K140" s="65">
        <f t="shared" si="67"/>
        <v>3040</v>
      </c>
    </row>
    <row r="141">
      <c r="A141" s="3"/>
      <c r="B141" s="41">
        <f t="shared" ref="B141:C141" si="68">SUM(B138:B140)</f>
        <v>321013</v>
      </c>
      <c r="C141" s="41">
        <f t="shared" si="68"/>
        <v>129016</v>
      </c>
      <c r="D141" s="41">
        <f t="shared" si="64"/>
        <v>191997</v>
      </c>
      <c r="E141" s="3"/>
      <c r="F141" s="3"/>
      <c r="G141" s="41">
        <f t="shared" ref="G141:H141" si="69">SUM(G138:G140)</f>
        <v>118876</v>
      </c>
      <c r="H141" s="41">
        <f t="shared" si="69"/>
        <v>507</v>
      </c>
      <c r="I141" s="3"/>
      <c r="J141" s="3">
        <v>5054.0</v>
      </c>
      <c r="K141" s="41">
        <f>SUM(K138:K140)</f>
        <v>10140</v>
      </c>
    </row>
    <row r="143">
      <c r="A143" s="31" t="s">
        <v>40</v>
      </c>
      <c r="B143" s="32">
        <f>B141</f>
        <v>321013</v>
      </c>
      <c r="C143" s="3"/>
      <c r="D143" s="30" t="s">
        <v>39</v>
      </c>
      <c r="E143" s="3" t="s">
        <v>151</v>
      </c>
    </row>
    <row r="144">
      <c r="A144" s="31" t="s">
        <v>41</v>
      </c>
      <c r="B144" s="32">
        <f>G141</f>
        <v>118876</v>
      </c>
      <c r="C144" s="3"/>
      <c r="D144" s="33" t="s">
        <v>41</v>
      </c>
      <c r="E144" s="34">
        <f>B144/H141</f>
        <v>234.469428</v>
      </c>
    </row>
    <row r="145">
      <c r="A145" s="31" t="s">
        <v>74</v>
      </c>
      <c r="B145" s="32">
        <f>K141</f>
        <v>10140</v>
      </c>
      <c r="C145" s="3"/>
      <c r="D145" s="33" t="s">
        <v>42</v>
      </c>
      <c r="E145" s="34">
        <f>B146/H141</f>
        <v>9.968441815</v>
      </c>
    </row>
    <row r="146">
      <c r="A146" s="31" t="s">
        <v>75</v>
      </c>
      <c r="B146" s="32">
        <f>I141+J141</f>
        <v>5054</v>
      </c>
      <c r="C146" s="3"/>
      <c r="D146" s="69" t="s">
        <v>43</v>
      </c>
      <c r="E146" s="34">
        <f>B145/H141</f>
        <v>20</v>
      </c>
    </row>
    <row r="147">
      <c r="A147" s="31" t="s">
        <v>62</v>
      </c>
      <c r="B147" s="32">
        <f>B143-SUM(B144:B146)</f>
        <v>186943</v>
      </c>
      <c r="C147" s="3"/>
      <c r="D147" s="33" t="s">
        <v>45</v>
      </c>
      <c r="E147" s="34">
        <f>B143/H141</f>
        <v>633.1617357</v>
      </c>
    </row>
    <row r="148">
      <c r="A148" s="31" t="s">
        <v>47</v>
      </c>
      <c r="B148" s="62">
        <f>B147/B143*100</f>
        <v>58.23533626</v>
      </c>
      <c r="C148" s="3"/>
      <c r="D148" s="3"/>
      <c r="E148" s="3"/>
    </row>
    <row r="151">
      <c r="A151" s="1" t="s">
        <v>160</v>
      </c>
      <c r="B151" s="2" t="s">
        <v>78</v>
      </c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S151" s="3"/>
      <c r="T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S152" s="3"/>
      <c r="T152" s="3"/>
    </row>
    <row r="153">
      <c r="A153" s="38" t="s">
        <v>49</v>
      </c>
      <c r="B153" s="24" t="s">
        <v>3</v>
      </c>
      <c r="C153" s="24" t="s">
        <v>4</v>
      </c>
      <c r="D153" s="24" t="s">
        <v>5</v>
      </c>
      <c r="E153" s="39" t="s">
        <v>6</v>
      </c>
      <c r="F153" s="24" t="s">
        <v>7</v>
      </c>
      <c r="G153" s="24" t="s">
        <v>11</v>
      </c>
      <c r="H153" s="24" t="s">
        <v>12</v>
      </c>
      <c r="I153" s="3"/>
      <c r="J153" s="3"/>
      <c r="K153" s="3"/>
      <c r="L153" s="3"/>
    </row>
    <row r="154">
      <c r="A154" s="42" t="s">
        <v>21</v>
      </c>
      <c r="B154" s="43">
        <f>38866+1017</f>
        <v>39883</v>
      </c>
      <c r="C154" s="44">
        <f t="shared" ref="C154:C169" si="70">G154</f>
        <v>14960</v>
      </c>
      <c r="D154" s="45">
        <f t="shared" ref="D154:D170" si="71">B154-C154</f>
        <v>24923</v>
      </c>
      <c r="E154" s="11">
        <f t="shared" ref="E154:E169" si="72">D154/B154*100</f>
        <v>62.49028408</v>
      </c>
      <c r="F154" s="46">
        <f t="shared" ref="F154:F169" si="73">D154/H154</f>
        <v>366.5147059</v>
      </c>
      <c r="G154" s="14">
        <f>220*H154</f>
        <v>14960</v>
      </c>
      <c r="H154" s="48">
        <f>66+2</f>
        <v>68</v>
      </c>
      <c r="I154" s="3"/>
      <c r="J154" s="3"/>
      <c r="K154" s="3"/>
      <c r="L154" s="3"/>
    </row>
    <row r="155">
      <c r="A155" s="42" t="s">
        <v>23</v>
      </c>
      <c r="B155" s="43">
        <v>45609.0</v>
      </c>
      <c r="C155" s="44">
        <f t="shared" si="70"/>
        <v>20064</v>
      </c>
      <c r="D155" s="45">
        <f t="shared" si="71"/>
        <v>25545</v>
      </c>
      <c r="E155" s="11">
        <f t="shared" si="72"/>
        <v>56.0086825</v>
      </c>
      <c r="F155" s="46">
        <f t="shared" si="73"/>
        <v>387.0454545</v>
      </c>
      <c r="G155" s="14">
        <f>304*H155</f>
        <v>20064</v>
      </c>
      <c r="H155" s="48">
        <v>66.0</v>
      </c>
      <c r="I155" s="3"/>
      <c r="J155" s="3"/>
      <c r="K155" s="3"/>
      <c r="L155" s="3"/>
    </row>
    <row r="156">
      <c r="A156" s="42" t="s">
        <v>25</v>
      </c>
      <c r="B156" s="43">
        <v>1927.0</v>
      </c>
      <c r="C156" s="44">
        <f t="shared" si="70"/>
        <v>1324</v>
      </c>
      <c r="D156" s="45">
        <f t="shared" si="71"/>
        <v>603</v>
      </c>
      <c r="E156" s="11">
        <f t="shared" si="72"/>
        <v>31.29216399</v>
      </c>
      <c r="F156" s="46">
        <f t="shared" si="73"/>
        <v>301.5</v>
      </c>
      <c r="G156" s="14">
        <f> 662*H156</f>
        <v>1324</v>
      </c>
      <c r="H156" s="48">
        <v>2.0</v>
      </c>
      <c r="I156" s="3"/>
      <c r="J156" s="3"/>
      <c r="K156" s="3"/>
      <c r="L156" s="3"/>
    </row>
    <row r="157">
      <c r="A157" s="42" t="s">
        <v>26</v>
      </c>
      <c r="B157" s="43">
        <f>7098+1105</f>
        <v>8203</v>
      </c>
      <c r="C157" s="44">
        <f t="shared" si="70"/>
        <v>4784</v>
      </c>
      <c r="D157" s="45">
        <f t="shared" si="71"/>
        <v>3419</v>
      </c>
      <c r="E157" s="11">
        <f t="shared" si="72"/>
        <v>41.67987322</v>
      </c>
      <c r="F157" s="46">
        <f t="shared" si="73"/>
        <v>131.5</v>
      </c>
      <c r="G157" s="14">
        <f>184*H157</f>
        <v>4784</v>
      </c>
      <c r="H157" s="48">
        <f>22+4</f>
        <v>26</v>
      </c>
      <c r="I157" s="3"/>
      <c r="J157" s="3"/>
      <c r="K157" s="3"/>
      <c r="L157" s="3"/>
    </row>
    <row r="158">
      <c r="A158" s="42" t="s">
        <v>28</v>
      </c>
      <c r="B158" s="43"/>
      <c r="C158" s="44">
        <f t="shared" si="70"/>
        <v>0</v>
      </c>
      <c r="D158" s="45">
        <f t="shared" si="71"/>
        <v>0</v>
      </c>
      <c r="E158" s="11" t="str">
        <f t="shared" si="72"/>
        <v>#DIV/0!</v>
      </c>
      <c r="F158" s="46" t="str">
        <f t="shared" si="73"/>
        <v>#DIV/0!</v>
      </c>
      <c r="G158" s="14">
        <f>250*H158</f>
        <v>0</v>
      </c>
      <c r="H158" s="48"/>
      <c r="I158" s="3"/>
      <c r="J158" s="3"/>
      <c r="K158" s="3"/>
      <c r="L158" s="3"/>
    </row>
    <row r="159">
      <c r="A159" s="42" t="s">
        <v>29</v>
      </c>
      <c r="B159" s="43">
        <v>21474.0</v>
      </c>
      <c r="C159" s="44">
        <f t="shared" si="70"/>
        <v>9240</v>
      </c>
      <c r="D159" s="45">
        <f t="shared" si="71"/>
        <v>12234</v>
      </c>
      <c r="E159" s="11">
        <f t="shared" si="72"/>
        <v>56.97122101</v>
      </c>
      <c r="F159" s="46">
        <f t="shared" si="73"/>
        <v>407.8</v>
      </c>
      <c r="G159" s="14">
        <f>308*H159</f>
        <v>9240</v>
      </c>
      <c r="H159" s="48">
        <v>30.0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A160" s="42" t="s">
        <v>31</v>
      </c>
      <c r="B160" s="43"/>
      <c r="C160" s="44">
        <f t="shared" si="70"/>
        <v>0</v>
      </c>
      <c r="D160" s="45">
        <f t="shared" si="71"/>
        <v>0</v>
      </c>
      <c r="E160" s="11" t="str">
        <f t="shared" si="72"/>
        <v>#DIV/0!</v>
      </c>
      <c r="F160" s="46" t="str">
        <f t="shared" si="73"/>
        <v>#DIV/0!</v>
      </c>
      <c r="G160" s="14">
        <f>500*H160</f>
        <v>0</v>
      </c>
      <c r="H160" s="48"/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42" t="s">
        <v>32</v>
      </c>
      <c r="B161" s="43"/>
      <c r="C161" s="44">
        <f t="shared" si="70"/>
        <v>0</v>
      </c>
      <c r="D161" s="45">
        <f t="shared" si="71"/>
        <v>0</v>
      </c>
      <c r="E161" s="11" t="str">
        <f t="shared" si="72"/>
        <v>#DIV/0!</v>
      </c>
      <c r="F161" s="46" t="str">
        <f t="shared" si="73"/>
        <v>#DIV/0!</v>
      </c>
      <c r="G161" s="14">
        <f>800*H161</f>
        <v>0</v>
      </c>
      <c r="H161" s="48"/>
      <c r="I161" s="3"/>
      <c r="J161" s="3"/>
      <c r="K161" s="3"/>
      <c r="L161" s="3"/>
    </row>
    <row r="162">
      <c r="A162" s="42" t="s">
        <v>33</v>
      </c>
      <c r="B162" s="43">
        <v>22797.0</v>
      </c>
      <c r="C162" s="44">
        <f t="shared" si="70"/>
        <v>17894</v>
      </c>
      <c r="D162" s="45">
        <f t="shared" si="71"/>
        <v>4903</v>
      </c>
      <c r="E162" s="11">
        <f t="shared" si="72"/>
        <v>21.50721586</v>
      </c>
      <c r="F162" s="46">
        <f t="shared" si="73"/>
        <v>213.173913</v>
      </c>
      <c r="G162" s="14">
        <f>778*H162</f>
        <v>17894</v>
      </c>
      <c r="H162" s="48">
        <v>23.0</v>
      </c>
      <c r="I162" s="3"/>
      <c r="J162" s="3"/>
      <c r="K162" s="3"/>
      <c r="L162" s="3"/>
    </row>
    <row r="163" ht="14.25" customHeight="1">
      <c r="A163" s="211" t="s">
        <v>131</v>
      </c>
      <c r="B163" s="212">
        <v>14124.0</v>
      </c>
      <c r="C163" s="221">
        <f t="shared" si="70"/>
        <v>11700</v>
      </c>
      <c r="D163" s="214">
        <f t="shared" si="71"/>
        <v>2424</v>
      </c>
      <c r="E163" s="215">
        <f t="shared" si="72"/>
        <v>17.16227698</v>
      </c>
      <c r="F163" s="216">
        <f t="shared" si="73"/>
        <v>186.4615385</v>
      </c>
      <c r="G163" s="218">
        <f>(900)*H163</f>
        <v>11700</v>
      </c>
      <c r="H163" s="219">
        <v>13.0</v>
      </c>
    </row>
    <row r="164">
      <c r="A164" s="42" t="s">
        <v>54</v>
      </c>
      <c r="B164" s="43"/>
      <c r="C164" s="44">
        <f t="shared" si="70"/>
        <v>0</v>
      </c>
      <c r="D164" s="45">
        <f t="shared" si="71"/>
        <v>0</v>
      </c>
      <c r="E164" s="11" t="str">
        <f t="shared" si="72"/>
        <v>#DIV/0!</v>
      </c>
      <c r="F164" s="46" t="str">
        <f t="shared" si="73"/>
        <v>#DIV/0!</v>
      </c>
      <c r="G164" s="14">
        <f>200*H164</f>
        <v>0</v>
      </c>
      <c r="H164" s="48"/>
      <c r="I164" s="3"/>
      <c r="J164" s="3"/>
      <c r="K164" s="3"/>
      <c r="L164" s="3"/>
      <c r="N164" s="3"/>
    </row>
    <row r="165">
      <c r="A165" s="42" t="s">
        <v>55</v>
      </c>
      <c r="B165" s="43">
        <f>14040</f>
        <v>14040</v>
      </c>
      <c r="C165" s="44">
        <f t="shared" si="70"/>
        <v>6868</v>
      </c>
      <c r="D165" s="45">
        <f t="shared" si="71"/>
        <v>7172</v>
      </c>
      <c r="E165" s="11">
        <f t="shared" si="72"/>
        <v>51.08262108</v>
      </c>
      <c r="F165" s="46">
        <f t="shared" si="73"/>
        <v>421.8823529</v>
      </c>
      <c r="G165" s="14">
        <f>(184+220)*H165</f>
        <v>6868</v>
      </c>
      <c r="H165" s="48">
        <f>17</f>
        <v>17</v>
      </c>
      <c r="I165" s="3"/>
      <c r="J165" s="3"/>
      <c r="K165" s="3"/>
      <c r="L165" s="3"/>
    </row>
    <row r="166">
      <c r="A166" s="42" t="s">
        <v>56</v>
      </c>
      <c r="B166" s="43">
        <v>2340.0</v>
      </c>
      <c r="C166" s="44">
        <f t="shared" si="70"/>
        <v>1048</v>
      </c>
      <c r="D166" s="45">
        <f t="shared" si="71"/>
        <v>1292</v>
      </c>
      <c r="E166" s="11">
        <f t="shared" si="72"/>
        <v>55.21367521</v>
      </c>
      <c r="F166" s="46">
        <f t="shared" si="73"/>
        <v>646</v>
      </c>
      <c r="G166" s="14">
        <f>(220+304)*H166</f>
        <v>1048</v>
      </c>
      <c r="H166" s="48">
        <f>2</f>
        <v>2</v>
      </c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A167" s="42" t="s">
        <v>57</v>
      </c>
      <c r="B167" s="43">
        <v>9911.0</v>
      </c>
      <c r="C167" s="44">
        <f t="shared" si="70"/>
        <v>4224</v>
      </c>
      <c r="D167" s="45">
        <f t="shared" si="71"/>
        <v>5687</v>
      </c>
      <c r="E167" s="11">
        <f t="shared" si="72"/>
        <v>57.38068812</v>
      </c>
      <c r="F167" s="46">
        <f t="shared" si="73"/>
        <v>710.875</v>
      </c>
      <c r="G167" s="14">
        <f>(220+308)*H167</f>
        <v>4224</v>
      </c>
      <c r="H167" s="48">
        <v>8.0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42" t="s">
        <v>58</v>
      </c>
      <c r="B168" s="43">
        <v>17922.0</v>
      </c>
      <c r="C168" s="44">
        <f t="shared" si="70"/>
        <v>10248</v>
      </c>
      <c r="D168" s="45">
        <f t="shared" si="71"/>
        <v>7674</v>
      </c>
      <c r="E168" s="11">
        <f t="shared" si="72"/>
        <v>42.81888182</v>
      </c>
      <c r="F168" s="46">
        <f t="shared" si="73"/>
        <v>365.4285714</v>
      </c>
      <c r="G168" s="14">
        <f>(304+184)*H168</f>
        <v>10248</v>
      </c>
      <c r="H168" s="48">
        <v>21.0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42" t="s">
        <v>59</v>
      </c>
      <c r="B169" s="43">
        <v>0.0</v>
      </c>
      <c r="C169" s="44">
        <f t="shared" si="70"/>
        <v>0</v>
      </c>
      <c r="D169" s="45">
        <f t="shared" si="71"/>
        <v>0</v>
      </c>
      <c r="E169" s="11" t="str">
        <f t="shared" si="72"/>
        <v>#DIV/0!</v>
      </c>
      <c r="F169" s="46" t="str">
        <f t="shared" si="73"/>
        <v>#DIV/0!</v>
      </c>
      <c r="G169" s="14">
        <f>(304+308)*H169</f>
        <v>0</v>
      </c>
      <c r="H169" s="48">
        <v>0.0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3" t="s">
        <v>38</v>
      </c>
      <c r="B170" s="57">
        <f t="shared" ref="B170:C170" si="74">SUM(B154:B169)</f>
        <v>198230</v>
      </c>
      <c r="C170" s="41">
        <f t="shared" si="74"/>
        <v>102354</v>
      </c>
      <c r="D170" s="57">
        <f t="shared" si="71"/>
        <v>95876</v>
      </c>
      <c r="E170" s="3"/>
      <c r="F170" s="3"/>
      <c r="G170" s="41">
        <f t="shared" ref="G170:H170" si="75">SUM(G154:G169)</f>
        <v>102354</v>
      </c>
      <c r="H170" s="41">
        <f t="shared" si="75"/>
        <v>276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2">
      <c r="A172" s="31" t="s">
        <v>40</v>
      </c>
      <c r="B172" s="36">
        <f>B170</f>
        <v>198230</v>
      </c>
      <c r="C172" s="3"/>
      <c r="D172" s="30"/>
      <c r="E172" s="3"/>
    </row>
    <row r="173">
      <c r="A173" s="31" t="s">
        <v>41</v>
      </c>
      <c r="B173" s="32">
        <f>G170</f>
        <v>102354</v>
      </c>
      <c r="C173" s="3"/>
      <c r="D173" s="33" t="s">
        <v>41</v>
      </c>
      <c r="E173" s="34">
        <f>B173/H170</f>
        <v>370.8478261</v>
      </c>
    </row>
    <row r="174">
      <c r="A174" s="31" t="s">
        <v>74</v>
      </c>
      <c r="B174" s="32">
        <v>0.0</v>
      </c>
      <c r="C174" s="3"/>
      <c r="D174" s="33" t="s">
        <v>42</v>
      </c>
      <c r="E174" s="34">
        <f>B175</f>
        <v>0</v>
      </c>
    </row>
    <row r="175">
      <c r="A175" s="31" t="s">
        <v>75</v>
      </c>
      <c r="B175" s="32">
        <f>I169+J169</f>
        <v>0</v>
      </c>
      <c r="C175" s="3"/>
      <c r="D175" s="69" t="s">
        <v>43</v>
      </c>
      <c r="E175" s="34">
        <f>B174/H170</f>
        <v>0</v>
      </c>
    </row>
    <row r="176">
      <c r="A176" s="31" t="s">
        <v>62</v>
      </c>
      <c r="B176" s="36">
        <f>B172-SUM(B173:B175)</f>
        <v>95876</v>
      </c>
      <c r="C176" s="3"/>
      <c r="D176" s="33" t="s">
        <v>45</v>
      </c>
      <c r="E176" s="34">
        <f>B172/H170</f>
        <v>718.2246377</v>
      </c>
    </row>
    <row r="177">
      <c r="A177" s="31" t="s">
        <v>47</v>
      </c>
      <c r="B177" s="62">
        <f>B176/B172*100</f>
        <v>48.36603945</v>
      </c>
      <c r="C177" s="3"/>
      <c r="D177" s="3"/>
      <c r="E177" s="3"/>
    </row>
    <row r="178">
      <c r="A178" s="259"/>
      <c r="B178" s="260"/>
      <c r="C178" s="157"/>
      <c r="D178" s="157"/>
      <c r="E178" s="157"/>
      <c r="F178" s="70"/>
      <c r="G178" s="70"/>
    </row>
    <row r="179">
      <c r="A179" s="259"/>
      <c r="B179" s="260"/>
      <c r="C179" s="157"/>
      <c r="D179" s="157"/>
      <c r="E179" s="157"/>
      <c r="F179" s="70"/>
      <c r="G179" s="70"/>
    </row>
    <row r="180">
      <c r="A180" s="1" t="s">
        <v>160</v>
      </c>
      <c r="B180" s="2" t="s">
        <v>162</v>
      </c>
      <c r="C180" s="157"/>
      <c r="D180" s="157"/>
      <c r="E180" s="157"/>
      <c r="F180" s="70"/>
      <c r="G180" s="70"/>
    </row>
    <row r="181">
      <c r="A181" s="38" t="s">
        <v>49</v>
      </c>
      <c r="B181" s="24" t="s">
        <v>3</v>
      </c>
      <c r="C181" s="24" t="s">
        <v>4</v>
      </c>
      <c r="D181" s="24" t="s">
        <v>5</v>
      </c>
      <c r="E181" s="39" t="s">
        <v>6</v>
      </c>
      <c r="F181" s="24" t="s">
        <v>7</v>
      </c>
      <c r="G181" s="24" t="s">
        <v>11</v>
      </c>
      <c r="H181" s="24" t="s">
        <v>12</v>
      </c>
    </row>
    <row r="182">
      <c r="A182" s="24" t="s">
        <v>21</v>
      </c>
      <c r="B182" s="212">
        <v>4695.0</v>
      </c>
      <c r="C182" s="221">
        <f t="shared" ref="C182:C186" si="76">G182</f>
        <v>1100</v>
      </c>
      <c r="D182" s="214">
        <f t="shared" ref="D182:D186" si="77">B182-C182</f>
        <v>3595</v>
      </c>
      <c r="E182" s="215">
        <f t="shared" ref="E182:E186" si="78">D182/B182*100</f>
        <v>76.57082002</v>
      </c>
      <c r="F182" s="216">
        <f t="shared" ref="F182:F186" si="79">D182/H182</f>
        <v>719</v>
      </c>
      <c r="G182" s="218">
        <f>220*H182</f>
        <v>1100</v>
      </c>
      <c r="H182" s="219">
        <v>5.0</v>
      </c>
    </row>
    <row r="183">
      <c r="A183" s="90" t="s">
        <v>163</v>
      </c>
      <c r="B183" s="212">
        <v>999.0</v>
      </c>
      <c r="C183" s="221">
        <f t="shared" si="76"/>
        <v>304</v>
      </c>
      <c r="D183" s="214">
        <f t="shared" si="77"/>
        <v>695</v>
      </c>
      <c r="E183" s="215">
        <f t="shared" si="78"/>
        <v>69.56956957</v>
      </c>
      <c r="F183" s="216">
        <f t="shared" si="79"/>
        <v>695</v>
      </c>
      <c r="G183" s="218">
        <f>304*H183</f>
        <v>304</v>
      </c>
      <c r="H183" s="219">
        <v>1.0</v>
      </c>
    </row>
    <row r="184">
      <c r="A184" s="90" t="s">
        <v>164</v>
      </c>
      <c r="B184" s="212">
        <v>1530.0</v>
      </c>
      <c r="C184" s="221">
        <f t="shared" si="76"/>
        <v>662</v>
      </c>
      <c r="D184" s="214">
        <f t="shared" si="77"/>
        <v>868</v>
      </c>
      <c r="E184" s="215">
        <f t="shared" si="78"/>
        <v>56.73202614</v>
      </c>
      <c r="F184" s="216">
        <f t="shared" si="79"/>
        <v>868</v>
      </c>
      <c r="G184" s="218">
        <f>662*H184</f>
        <v>662</v>
      </c>
      <c r="H184" s="219">
        <v>1.0</v>
      </c>
    </row>
    <row r="185">
      <c r="A185" s="90" t="s">
        <v>165</v>
      </c>
      <c r="B185" s="212">
        <v>1215.0</v>
      </c>
      <c r="C185" s="221">
        <f t="shared" si="76"/>
        <v>500</v>
      </c>
      <c r="D185" s="214">
        <f t="shared" si="77"/>
        <v>715</v>
      </c>
      <c r="E185" s="215">
        <f t="shared" si="78"/>
        <v>58.84773663</v>
      </c>
      <c r="F185" s="216">
        <f t="shared" si="79"/>
        <v>715</v>
      </c>
      <c r="G185" s="218">
        <f>500*H185</f>
        <v>500</v>
      </c>
      <c r="H185" s="219">
        <v>1.0</v>
      </c>
    </row>
    <row r="186">
      <c r="A186" s="90" t="s">
        <v>166</v>
      </c>
      <c r="B186" s="212">
        <v>4803.0</v>
      </c>
      <c r="C186" s="221">
        <f t="shared" si="76"/>
        <v>2334</v>
      </c>
      <c r="D186" s="214">
        <f t="shared" si="77"/>
        <v>2469</v>
      </c>
      <c r="E186" s="215">
        <f t="shared" si="78"/>
        <v>51.40537164</v>
      </c>
      <c r="F186" s="216">
        <f t="shared" si="79"/>
        <v>823</v>
      </c>
      <c r="G186" s="218">
        <f t="shared" ref="G186:G187" si="81">778*H186</f>
        <v>2334</v>
      </c>
      <c r="H186" s="219">
        <v>3.0</v>
      </c>
    </row>
    <row r="187">
      <c r="A187" s="90"/>
      <c r="B187" s="261">
        <f>SUM(B181:B186)</f>
        <v>13242</v>
      </c>
      <c r="C187" s="262">
        <f t="shared" ref="C187:D187" si="80">SUM(C182:C186)</f>
        <v>4900</v>
      </c>
      <c r="D187" s="263">
        <f t="shared" si="80"/>
        <v>8342</v>
      </c>
      <c r="E187" s="262"/>
      <c r="F187" s="264"/>
      <c r="G187" s="265">
        <f t="shared" si="81"/>
        <v>8558</v>
      </c>
      <c r="H187" s="107">
        <f>SUM(H182:H186)</f>
        <v>11</v>
      </c>
    </row>
    <row r="188">
      <c r="A188" s="259"/>
      <c r="B188" s="260"/>
      <c r="C188" s="157"/>
      <c r="D188" s="157"/>
      <c r="E188" s="157"/>
      <c r="F188" s="70"/>
      <c r="G188" s="70"/>
    </row>
    <row r="189">
      <c r="A189" s="259"/>
      <c r="B189" s="260"/>
      <c r="C189" s="157"/>
      <c r="D189" s="157"/>
      <c r="E189" s="157"/>
      <c r="F189" s="70"/>
      <c r="G189" s="70"/>
    </row>
    <row r="190">
      <c r="A190" s="259"/>
      <c r="B190" s="260"/>
      <c r="C190" s="157"/>
      <c r="D190" s="157"/>
      <c r="E190" s="157"/>
      <c r="F190" s="70"/>
      <c r="G190" s="70"/>
    </row>
    <row r="191">
      <c r="A191" s="259"/>
      <c r="B191" s="260"/>
      <c r="C191" s="157"/>
      <c r="D191" s="157"/>
      <c r="E191" s="157"/>
      <c r="F191" s="70"/>
      <c r="G191" s="70"/>
    </row>
    <row r="192">
      <c r="A192" s="259"/>
      <c r="B192" s="260"/>
      <c r="C192" s="157"/>
      <c r="D192" s="157"/>
      <c r="E192" s="157"/>
      <c r="F192" s="70"/>
      <c r="G192" s="70"/>
    </row>
    <row r="193">
      <c r="A193" s="70"/>
      <c r="B193" s="70"/>
      <c r="C193" s="70"/>
      <c r="D193" s="70"/>
      <c r="E193" s="70"/>
      <c r="F193" s="70"/>
      <c r="G193" s="70"/>
    </row>
    <row r="194" ht="18.0" customHeight="1"/>
    <row r="195">
      <c r="A195" s="127">
        <v>45901.0</v>
      </c>
    </row>
    <row r="196" ht="15.75" customHeight="1"/>
    <row r="197">
      <c r="A197" s="227" t="s">
        <v>152</v>
      </c>
      <c r="B197" s="228">
        <f>K35+I68+I101+H121+H141+H170+H187</f>
        <v>11058</v>
      </c>
      <c r="D197" s="60" t="s">
        <v>21</v>
      </c>
      <c r="E197" s="58">
        <f>B4+B51+B87+B117+B138+B154+B182</f>
        <v>2818298.36</v>
      </c>
    </row>
    <row r="198">
      <c r="A198" s="71" t="s">
        <v>79</v>
      </c>
      <c r="B198" s="72">
        <f>B40+B71+B104+B124+B143+B172+B187</f>
        <v>11022378.94</v>
      </c>
      <c r="D198" s="60" t="s">
        <v>23</v>
      </c>
      <c r="E198" s="58">
        <f>B6+B52+B88+B119+B140+B155+B183</f>
        <v>2782816.4</v>
      </c>
    </row>
    <row r="199">
      <c r="A199" s="229" t="s">
        <v>41</v>
      </c>
      <c r="B199" s="230">
        <f>B41+B72+B105+B125+B144+B173</f>
        <v>3639169</v>
      </c>
      <c r="D199" s="60" t="s">
        <v>25</v>
      </c>
      <c r="E199" s="58">
        <f>B8+B53+B89+B156+B184</f>
        <v>72102.79</v>
      </c>
      <c r="F199" s="168"/>
      <c r="G199" s="70"/>
      <c r="H199" s="129"/>
      <c r="I199" s="129"/>
      <c r="J199" s="129"/>
      <c r="K199" s="70"/>
    </row>
    <row r="200">
      <c r="A200" s="231" t="s">
        <v>80</v>
      </c>
      <c r="B200" s="232">
        <f>B198-B199</f>
        <v>7383209.94</v>
      </c>
      <c r="D200" s="60" t="s">
        <v>26</v>
      </c>
      <c r="E200" s="58">
        <f>B9+B54+B90+B118+B139+B157</f>
        <v>476847.01</v>
      </c>
      <c r="G200" s="70"/>
      <c r="H200" s="70"/>
      <c r="I200" s="169"/>
      <c r="J200" s="148"/>
      <c r="K200" s="70"/>
      <c r="M200" s="128"/>
      <c r="N200" s="113"/>
    </row>
    <row r="201">
      <c r="A201" s="71" t="s">
        <v>81</v>
      </c>
      <c r="B201" s="78">
        <f>B200/B198</f>
        <v>0.669838152</v>
      </c>
      <c r="D201" s="60" t="s">
        <v>28</v>
      </c>
      <c r="E201" s="58">
        <f>B158+B12</f>
        <v>0</v>
      </c>
      <c r="F201" s="113"/>
      <c r="G201" s="70"/>
      <c r="H201" s="70"/>
      <c r="I201" s="169"/>
      <c r="J201" s="148"/>
      <c r="K201" s="70"/>
    </row>
    <row r="202">
      <c r="A202" s="231" t="s">
        <v>82</v>
      </c>
      <c r="B202" s="232">
        <f>B174+B145+B126+B106+B73+B42+B74</f>
        <v>1247327</v>
      </c>
      <c r="D202" s="60" t="s">
        <v>29</v>
      </c>
      <c r="E202" s="58">
        <f>B13+B55+B92+B120+B159</f>
        <v>1691994.49</v>
      </c>
      <c r="F202" s="113"/>
      <c r="G202" s="70"/>
      <c r="H202" s="70"/>
      <c r="I202" s="169"/>
      <c r="J202" s="148"/>
      <c r="K202" s="70"/>
      <c r="L202" s="128"/>
      <c r="M202" s="113"/>
    </row>
    <row r="203">
      <c r="A203" s="233" t="s">
        <v>83</v>
      </c>
      <c r="B203" s="234">
        <f>B43+B75+B107+B127+B146+B175</f>
        <v>4828160.9</v>
      </c>
      <c r="D203" s="60" t="s">
        <v>31</v>
      </c>
      <c r="E203" s="58">
        <f>B15+B56+B93+B160+B185</f>
        <v>68766.27</v>
      </c>
      <c r="F203" s="113"/>
      <c r="G203" s="70"/>
      <c r="H203" s="70"/>
      <c r="I203" s="169"/>
      <c r="J203" s="148"/>
      <c r="K203" s="70"/>
    </row>
    <row r="204">
      <c r="A204" s="81" t="s">
        <v>84</v>
      </c>
      <c r="B204" s="82">
        <f>B200-(B202+B203)</f>
        <v>1307722.04</v>
      </c>
      <c r="D204" s="60" t="s">
        <v>32</v>
      </c>
      <c r="E204" s="58">
        <f>B161+B16</f>
        <v>49925.76</v>
      </c>
      <c r="G204" s="70"/>
      <c r="H204" s="157"/>
      <c r="I204" s="170"/>
      <c r="J204" s="148"/>
      <c r="K204" s="70"/>
    </row>
    <row r="205">
      <c r="A205" s="71" t="s">
        <v>85</v>
      </c>
      <c r="B205" s="78">
        <f>B204/B198</f>
        <v>0.1186424498</v>
      </c>
      <c r="D205" s="60" t="s">
        <v>33</v>
      </c>
      <c r="E205" s="58">
        <f>B186+B162+B95+B57+B17</f>
        <v>1711873.71</v>
      </c>
      <c r="G205" s="70"/>
      <c r="H205" s="70"/>
      <c r="I205" s="169"/>
      <c r="J205" s="148"/>
      <c r="K205" s="70"/>
    </row>
    <row r="206">
      <c r="A206" s="235" t="s">
        <v>86</v>
      </c>
      <c r="B206" s="236">
        <v>1149510.0</v>
      </c>
      <c r="D206" s="60" t="s">
        <v>131</v>
      </c>
      <c r="E206" s="166">
        <f>B163+B96+B58+B19</f>
        <v>175901.39</v>
      </c>
      <c r="F206" s="70"/>
      <c r="G206" s="70"/>
      <c r="H206" s="129"/>
      <c r="I206" s="129"/>
      <c r="J206" s="70"/>
      <c r="K206" s="70"/>
    </row>
    <row r="207">
      <c r="A207" s="85" t="s">
        <v>87</v>
      </c>
      <c r="B207" s="86">
        <f>B206+B203+B202+B199</f>
        <v>10864166.9</v>
      </c>
      <c r="D207" s="60" t="s">
        <v>54</v>
      </c>
      <c r="E207" s="166">
        <f>B164+B91+B67+B66+B59+B23+B22+B21+B20</f>
        <v>125435.15</v>
      </c>
      <c r="F207" s="171"/>
      <c r="G207" s="129"/>
      <c r="H207" s="70"/>
      <c r="I207" s="70"/>
      <c r="J207" s="70"/>
      <c r="K207" s="70"/>
    </row>
    <row r="208">
      <c r="A208" s="87" t="s">
        <v>88</v>
      </c>
      <c r="B208" s="88">
        <f>B198-B207</f>
        <v>158212.04</v>
      </c>
      <c r="D208" s="60" t="s">
        <v>93</v>
      </c>
      <c r="E208" s="166">
        <f>B5+B7+B10+B11+B14+B18+B24+B25+B26+B27+B28+B29+B30+B31+B32+B33+B34+B61+B60+B62+B63+B64+B65+B97+B98+B99+B100+B165+B166+B167+B168+B169</f>
        <v>887921.61</v>
      </c>
      <c r="F208" s="172"/>
      <c r="G208" s="70"/>
      <c r="H208" s="70"/>
      <c r="I208" s="70"/>
      <c r="J208" s="70"/>
      <c r="K208" s="70"/>
    </row>
    <row r="209">
      <c r="A209" s="71" t="s">
        <v>89</v>
      </c>
      <c r="B209" s="89">
        <f>B208/B198</f>
        <v>0.01435371083</v>
      </c>
      <c r="D209" s="60" t="s">
        <v>94</v>
      </c>
      <c r="E209" s="166">
        <f>B94</f>
        <v>496</v>
      </c>
      <c r="F209" s="172"/>
      <c r="G209" s="70"/>
      <c r="H209" s="70"/>
      <c r="I209" s="70"/>
      <c r="J209" s="70"/>
      <c r="K209" s="70"/>
    </row>
    <row r="210">
      <c r="E210" s="70"/>
      <c r="F210" s="172"/>
      <c r="G210" s="70"/>
      <c r="H210" s="70"/>
      <c r="I210" s="70"/>
      <c r="J210" s="70"/>
      <c r="K210" s="70"/>
    </row>
    <row r="211">
      <c r="E211" s="70"/>
      <c r="F211" s="172"/>
      <c r="G211" s="70"/>
      <c r="H211" s="70"/>
    </row>
    <row r="212">
      <c r="E212" s="129"/>
      <c r="F212" s="173"/>
      <c r="G212" s="129"/>
      <c r="H212" s="70"/>
    </row>
    <row r="213">
      <c r="E213" s="70"/>
      <c r="F213" s="70"/>
      <c r="G213" s="70"/>
      <c r="H213" s="70"/>
    </row>
    <row r="214">
      <c r="E214" s="70"/>
      <c r="F214" s="70"/>
      <c r="G214" s="70"/>
      <c r="H214" s="70"/>
    </row>
    <row r="215">
      <c r="E215" s="70"/>
      <c r="F215" s="70"/>
      <c r="G215" s="70"/>
      <c r="H215" s="70"/>
    </row>
    <row r="216">
      <c r="A216" s="266" t="s">
        <v>167</v>
      </c>
      <c r="E216" s="70"/>
      <c r="F216" s="70"/>
      <c r="G216" s="70"/>
      <c r="H216" s="70"/>
    </row>
    <row r="217">
      <c r="A217" s="140" t="s">
        <v>122</v>
      </c>
      <c r="B217" s="140" t="s">
        <v>123</v>
      </c>
      <c r="C217" s="141" t="s">
        <v>159</v>
      </c>
      <c r="D217" s="141" t="s">
        <v>124</v>
      </c>
      <c r="E217" s="70"/>
      <c r="F217" s="70"/>
      <c r="G217" s="70"/>
      <c r="H217" s="70"/>
    </row>
    <row r="218">
      <c r="A218" s="142" t="s">
        <v>125</v>
      </c>
      <c r="B218" s="143">
        <f>B40</f>
        <v>5920353.65</v>
      </c>
      <c r="C218" s="238">
        <f>K35</f>
        <v>5021</v>
      </c>
      <c r="D218" s="144">
        <f t="shared" ref="D218:D223" si="82">C218/$C$224</f>
        <v>0.4545125373</v>
      </c>
      <c r="E218" s="70"/>
      <c r="F218" s="70"/>
      <c r="G218" s="70"/>
      <c r="H218" s="70"/>
    </row>
    <row r="219">
      <c r="A219" s="142" t="s">
        <v>48</v>
      </c>
      <c r="B219" s="143">
        <f>B71</f>
        <v>3706463.63</v>
      </c>
      <c r="C219" s="238">
        <f>I68</f>
        <v>4028</v>
      </c>
      <c r="D219" s="144">
        <f t="shared" si="82"/>
        <v>0.3646238798</v>
      </c>
      <c r="E219" s="70"/>
      <c r="F219" s="70"/>
      <c r="G219" s="70"/>
      <c r="H219" s="70"/>
    </row>
    <row r="220">
      <c r="A220" s="142" t="s">
        <v>70</v>
      </c>
      <c r="B220" s="143">
        <f>B121</f>
        <v>511446</v>
      </c>
      <c r="C220" s="238">
        <f>H121</f>
        <v>788</v>
      </c>
      <c r="D220" s="144">
        <f t="shared" si="82"/>
        <v>0.07133158324</v>
      </c>
      <c r="E220" s="70"/>
      <c r="F220" s="70"/>
      <c r="G220" s="70"/>
      <c r="H220" s="70"/>
    </row>
    <row r="221">
      <c r="A221" s="142" t="s">
        <v>76</v>
      </c>
      <c r="B221" s="143">
        <f>B141</f>
        <v>321013</v>
      </c>
      <c r="C221" s="238">
        <f>H141</f>
        <v>507</v>
      </c>
      <c r="D221" s="144">
        <f t="shared" si="82"/>
        <v>0.04589481307</v>
      </c>
    </row>
    <row r="222">
      <c r="A222" s="142" t="s">
        <v>78</v>
      </c>
      <c r="B222" s="143">
        <f>B172</f>
        <v>198230</v>
      </c>
      <c r="C222" s="238">
        <f>H170</f>
        <v>276</v>
      </c>
      <c r="D222" s="144">
        <f t="shared" si="82"/>
        <v>0.0249841586</v>
      </c>
      <c r="E222" s="70"/>
      <c r="F222" s="70"/>
      <c r="G222" s="70"/>
      <c r="H222" s="70"/>
    </row>
    <row r="223">
      <c r="A223" s="142" t="s">
        <v>64</v>
      </c>
      <c r="B223" s="143">
        <f>B104</f>
        <v>351630.66</v>
      </c>
      <c r="C223" s="238">
        <f>I101</f>
        <v>427</v>
      </c>
      <c r="D223" s="144">
        <f t="shared" si="82"/>
        <v>0.03865302797</v>
      </c>
    </row>
    <row r="224">
      <c r="A224" s="145" t="s">
        <v>38</v>
      </c>
      <c r="B224" s="146">
        <f t="shared" ref="B224:C224" si="83">SUM(B218:B223)</f>
        <v>11009136.94</v>
      </c>
      <c r="C224" s="239">
        <f t="shared" si="83"/>
        <v>11047</v>
      </c>
      <c r="D224" s="192">
        <v>1.0</v>
      </c>
    </row>
    <row r="229">
      <c r="A229" s="70"/>
      <c r="B229" s="70"/>
      <c r="C229" s="70"/>
      <c r="D229" s="70"/>
    </row>
    <row r="230">
      <c r="A230" s="70"/>
      <c r="B230" s="70"/>
      <c r="C230" s="70"/>
      <c r="D230" s="70"/>
      <c r="E230" s="70"/>
      <c r="F230" s="70"/>
      <c r="G230" s="70"/>
      <c r="H230" s="70"/>
    </row>
    <row r="231">
      <c r="A231" s="267" t="s">
        <v>91</v>
      </c>
      <c r="B231" s="268">
        <f>SUM(B232:B238)</f>
        <v>11058</v>
      </c>
      <c r="C231" s="70"/>
      <c r="D231" s="70"/>
      <c r="E231" s="259"/>
      <c r="F231" s="269"/>
      <c r="G231" s="70"/>
      <c r="H231" s="70"/>
    </row>
    <row r="232">
      <c r="A232" s="107" t="s">
        <v>92</v>
      </c>
      <c r="B232" s="270">
        <f>B39</f>
        <v>5021</v>
      </c>
      <c r="C232" s="129"/>
      <c r="D232" s="70"/>
      <c r="E232" s="157"/>
      <c r="F232" s="271"/>
      <c r="G232" s="70"/>
      <c r="H232" s="70"/>
    </row>
    <row r="233">
      <c r="A233" s="107" t="s">
        <v>48</v>
      </c>
      <c r="B233" s="270">
        <f>I68</f>
        <v>4028</v>
      </c>
      <c r="C233" s="148"/>
      <c r="D233" s="70"/>
      <c r="E233" s="157"/>
      <c r="F233" s="271"/>
      <c r="G233" s="70"/>
      <c r="H233" s="70"/>
    </row>
    <row r="234">
      <c r="A234" s="107" t="s">
        <v>64</v>
      </c>
      <c r="B234" s="270">
        <f>C223</f>
        <v>427</v>
      </c>
      <c r="C234" s="148"/>
      <c r="D234" s="70"/>
      <c r="E234" s="157"/>
      <c r="F234" s="271"/>
      <c r="G234" s="70"/>
      <c r="H234" s="70"/>
    </row>
    <row r="235">
      <c r="A235" s="107" t="s">
        <v>70</v>
      </c>
      <c r="B235" s="270">
        <f t="shared" ref="B235:B237" si="84">C220</f>
        <v>788</v>
      </c>
      <c r="C235" s="148"/>
      <c r="D235" s="70"/>
      <c r="E235" s="157"/>
      <c r="F235" s="271"/>
      <c r="G235" s="70"/>
      <c r="H235" s="70"/>
    </row>
    <row r="236">
      <c r="A236" s="107" t="s">
        <v>76</v>
      </c>
      <c r="B236" s="270">
        <f t="shared" si="84"/>
        <v>507</v>
      </c>
      <c r="C236" s="148"/>
      <c r="D236" s="70"/>
      <c r="E236" s="157"/>
      <c r="F236" s="271"/>
      <c r="G236" s="70"/>
      <c r="H236" s="70"/>
    </row>
    <row r="237">
      <c r="A237" s="107" t="s">
        <v>95</v>
      </c>
      <c r="B237" s="270">
        <f t="shared" si="84"/>
        <v>276</v>
      </c>
      <c r="C237" s="148"/>
      <c r="D237" s="70"/>
      <c r="E237" s="157"/>
      <c r="F237" s="271"/>
      <c r="G237" s="70"/>
      <c r="H237" s="70"/>
    </row>
    <row r="238">
      <c r="A238" s="107" t="s">
        <v>96</v>
      </c>
      <c r="B238" s="270">
        <f>H187</f>
        <v>11</v>
      </c>
      <c r="C238" s="148"/>
      <c r="D238" s="70"/>
      <c r="E238" s="157"/>
      <c r="F238" s="157"/>
      <c r="G238" s="70"/>
      <c r="H238" s="70"/>
    </row>
    <row r="239">
      <c r="A239" s="267" t="s">
        <v>97</v>
      </c>
      <c r="B239" s="272">
        <f>SUM(B240:B246)</f>
        <v>11022378.94</v>
      </c>
      <c r="C239" s="148"/>
      <c r="D239" s="70"/>
      <c r="E239" s="259"/>
      <c r="F239" s="273"/>
      <c r="G239" s="70"/>
      <c r="H239" s="70"/>
    </row>
    <row r="240">
      <c r="A240" s="107" t="s">
        <v>92</v>
      </c>
      <c r="B240" s="109">
        <f>B40</f>
        <v>5920353.65</v>
      </c>
      <c r="C240" s="148"/>
      <c r="D240" s="70"/>
      <c r="E240" s="157"/>
      <c r="F240" s="161"/>
      <c r="G240" s="70"/>
      <c r="H240" s="70"/>
    </row>
    <row r="241">
      <c r="A241" s="107" t="s">
        <v>48</v>
      </c>
      <c r="B241" s="109">
        <f>B71</f>
        <v>3706463.63</v>
      </c>
      <c r="C241" s="149"/>
      <c r="D241" s="70"/>
      <c r="E241" s="157"/>
      <c r="F241" s="161"/>
      <c r="G241" s="70"/>
      <c r="H241" s="70"/>
    </row>
    <row r="242">
      <c r="A242" s="107" t="s">
        <v>64</v>
      </c>
      <c r="B242" s="109">
        <f>B101</f>
        <v>351630.66</v>
      </c>
      <c r="C242" s="70"/>
      <c r="D242" s="70"/>
      <c r="E242" s="157"/>
      <c r="F242" s="161"/>
      <c r="G242" s="70"/>
      <c r="H242" s="70"/>
    </row>
    <row r="243">
      <c r="A243" s="107" t="s">
        <v>70</v>
      </c>
      <c r="B243" s="109">
        <f>B121</f>
        <v>511446</v>
      </c>
      <c r="C243" s="70"/>
      <c r="D243" s="70"/>
      <c r="E243" s="157"/>
      <c r="F243" s="161"/>
      <c r="G243" s="70"/>
      <c r="H243" s="70"/>
    </row>
    <row r="244">
      <c r="A244" s="107" t="s">
        <v>76</v>
      </c>
      <c r="B244" s="109">
        <f>B141</f>
        <v>321013</v>
      </c>
      <c r="C244" s="70"/>
      <c r="D244" s="70"/>
      <c r="E244" s="157"/>
      <c r="F244" s="161"/>
      <c r="G244" s="70"/>
      <c r="H244" s="70"/>
    </row>
    <row r="245">
      <c r="A245" s="107" t="s">
        <v>95</v>
      </c>
      <c r="B245" s="109">
        <f>B170</f>
        <v>198230</v>
      </c>
      <c r="C245" s="70"/>
      <c r="D245" s="70"/>
      <c r="E245" s="157"/>
      <c r="F245" s="161"/>
      <c r="G245" s="70"/>
      <c r="H245" s="70"/>
    </row>
    <row r="246">
      <c r="A246" s="107" t="s">
        <v>96</v>
      </c>
      <c r="B246" s="109">
        <f>B187</f>
        <v>13242</v>
      </c>
      <c r="D246" s="70"/>
      <c r="E246" s="157"/>
      <c r="F246" s="161"/>
      <c r="G246" s="70"/>
      <c r="H246" s="70"/>
    </row>
    <row r="247">
      <c r="A247" s="267" t="s">
        <v>98</v>
      </c>
      <c r="B247" s="272">
        <f>SUM(B248:B254)</f>
        <v>9841409.768</v>
      </c>
      <c r="D247" s="70"/>
      <c r="E247" s="259"/>
      <c r="F247" s="259"/>
      <c r="G247" s="70"/>
      <c r="H247" s="70"/>
    </row>
    <row r="248">
      <c r="A248" s="107" t="s">
        <v>92</v>
      </c>
      <c r="B248" s="274">
        <f t="shared" ref="B248:B254" si="85">B240/1.12</f>
        <v>5286030.045</v>
      </c>
      <c r="D248" s="70"/>
      <c r="E248" s="157"/>
      <c r="F248" s="157"/>
      <c r="G248" s="70"/>
      <c r="H248" s="70"/>
    </row>
    <row r="249">
      <c r="A249" s="107" t="s">
        <v>48</v>
      </c>
      <c r="B249" s="274">
        <f t="shared" si="85"/>
        <v>3309342.527</v>
      </c>
      <c r="D249" s="70"/>
      <c r="E249" s="157"/>
      <c r="F249" s="157"/>
      <c r="G249" s="70"/>
      <c r="H249" s="70"/>
    </row>
    <row r="250">
      <c r="A250" s="107" t="s">
        <v>64</v>
      </c>
      <c r="B250" s="274">
        <f t="shared" si="85"/>
        <v>313955.9464</v>
      </c>
      <c r="D250" s="70"/>
      <c r="E250" s="157"/>
      <c r="F250" s="157"/>
      <c r="G250" s="70"/>
      <c r="H250" s="70"/>
    </row>
    <row r="251">
      <c r="A251" s="107" t="s">
        <v>70</v>
      </c>
      <c r="B251" s="274">
        <f t="shared" si="85"/>
        <v>456648.2143</v>
      </c>
      <c r="D251" s="70"/>
      <c r="E251" s="157"/>
      <c r="F251" s="157"/>
      <c r="G251" s="70"/>
      <c r="H251" s="70"/>
    </row>
    <row r="252">
      <c r="A252" s="107" t="s">
        <v>76</v>
      </c>
      <c r="B252" s="274">
        <f t="shared" si="85"/>
        <v>286618.75</v>
      </c>
      <c r="D252" s="70"/>
      <c r="E252" s="157"/>
      <c r="F252" s="157"/>
      <c r="G252" s="70"/>
      <c r="H252" s="70"/>
    </row>
    <row r="253">
      <c r="A253" s="107" t="s">
        <v>95</v>
      </c>
      <c r="B253" s="274">
        <f t="shared" si="85"/>
        <v>176991.0714</v>
      </c>
      <c r="D253" s="70"/>
      <c r="E253" s="157"/>
      <c r="F253" s="157"/>
      <c r="G253" s="70"/>
      <c r="H253" s="70"/>
    </row>
    <row r="254">
      <c r="A254" s="107" t="s">
        <v>96</v>
      </c>
      <c r="B254" s="274">
        <f t="shared" si="85"/>
        <v>11823.21429</v>
      </c>
      <c r="D254" s="70"/>
      <c r="E254" s="157"/>
      <c r="F254" s="157"/>
      <c r="G254" s="70"/>
      <c r="H254" s="70"/>
    </row>
    <row r="255">
      <c r="A255" s="90" t="s">
        <v>41</v>
      </c>
      <c r="B255" s="96">
        <f>B199/1.18</f>
        <v>3084041.525</v>
      </c>
      <c r="C255" s="70"/>
      <c r="D255" s="70"/>
      <c r="E255" s="259"/>
      <c r="F255" s="275"/>
      <c r="G255" s="70"/>
      <c r="H255" s="70"/>
    </row>
    <row r="256">
      <c r="A256" s="90" t="s">
        <v>80</v>
      </c>
      <c r="B256" s="97">
        <f>B247-B255</f>
        <v>6757368.242</v>
      </c>
      <c r="C256" s="70"/>
      <c r="D256" s="70"/>
      <c r="E256" s="259"/>
      <c r="F256" s="157"/>
      <c r="G256" s="70"/>
      <c r="H256" s="70"/>
    </row>
    <row r="257">
      <c r="A257" s="92" t="s">
        <v>99</v>
      </c>
      <c r="B257" s="98">
        <f>B256/B247</f>
        <v>0.6866260426</v>
      </c>
      <c r="C257" s="70"/>
      <c r="D257" s="70"/>
      <c r="E257" s="259"/>
      <c r="F257" s="163"/>
      <c r="G257" s="70"/>
      <c r="H257" s="70"/>
    </row>
    <row r="258">
      <c r="A258" s="99" t="s">
        <v>100</v>
      </c>
      <c r="B258" s="100">
        <f>B42+B74+B126+B145+B174</f>
        <v>751262</v>
      </c>
      <c r="C258" s="70"/>
      <c r="D258" s="70"/>
      <c r="E258" s="70"/>
      <c r="F258" s="70"/>
      <c r="G258" s="70"/>
      <c r="H258" s="70"/>
    </row>
    <row r="259">
      <c r="A259" s="99" t="s">
        <v>101</v>
      </c>
      <c r="B259" s="100">
        <f>B73</f>
        <v>449509</v>
      </c>
      <c r="C259" s="70"/>
      <c r="D259" s="70"/>
      <c r="E259" s="70"/>
      <c r="F259" s="70"/>
      <c r="G259" s="70"/>
      <c r="H259" s="70"/>
    </row>
    <row r="260">
      <c r="A260" s="101" t="s">
        <v>102</v>
      </c>
      <c r="B260" s="95">
        <f>B256-(B258+B259)</f>
        <v>5556597.242</v>
      </c>
      <c r="C260" s="70"/>
      <c r="D260" s="70"/>
      <c r="E260" s="70"/>
      <c r="F260" s="70"/>
      <c r="G260" s="70"/>
      <c r="H260" s="70"/>
    </row>
    <row r="261">
      <c r="A261" s="92" t="s">
        <v>103</v>
      </c>
      <c r="B261" s="98">
        <f>B260/B247</f>
        <v>0.56461395</v>
      </c>
      <c r="C261" s="70"/>
      <c r="D261" s="70"/>
      <c r="E261" s="70"/>
      <c r="F261" s="70"/>
      <c r="G261" s="70"/>
      <c r="H261" s="70"/>
    </row>
    <row r="262">
      <c r="A262" s="28" t="s">
        <v>104</v>
      </c>
      <c r="B262" s="95">
        <f>B203/1.18</f>
        <v>4091661.78</v>
      </c>
      <c r="C262" s="70"/>
      <c r="D262" s="70"/>
      <c r="E262" s="70"/>
      <c r="F262" s="70"/>
      <c r="G262" s="70"/>
      <c r="H262" s="70"/>
    </row>
    <row r="263">
      <c r="A263" s="101" t="s">
        <v>105</v>
      </c>
      <c r="B263" s="95">
        <f>B260-B262</f>
        <v>1464935.463</v>
      </c>
      <c r="C263" s="70"/>
      <c r="D263" s="70"/>
      <c r="E263" s="70"/>
      <c r="F263" s="70"/>
      <c r="G263" s="70"/>
      <c r="H263" s="70"/>
    </row>
    <row r="264">
      <c r="A264" s="92" t="s">
        <v>106</v>
      </c>
      <c r="B264" s="102">
        <f>B263/B247</f>
        <v>0.1488542289</v>
      </c>
      <c r="C264" s="70"/>
      <c r="D264" s="70"/>
      <c r="E264" s="70"/>
      <c r="F264" s="70"/>
      <c r="G264" s="70"/>
      <c r="H264" s="70"/>
    </row>
    <row r="265">
      <c r="A265" s="28" t="s">
        <v>107</v>
      </c>
      <c r="B265" s="28">
        <v>650000.0</v>
      </c>
      <c r="C265" s="70"/>
      <c r="D265" s="70"/>
      <c r="E265" s="70"/>
      <c r="F265" s="70"/>
      <c r="G265" s="70"/>
      <c r="H265" s="70"/>
    </row>
    <row r="266">
      <c r="A266" s="28" t="s">
        <v>108</v>
      </c>
      <c r="B266" s="28">
        <v>420000.0</v>
      </c>
      <c r="C266" s="70"/>
      <c r="D266" s="70"/>
      <c r="E266" s="70"/>
      <c r="F266" s="70"/>
      <c r="G266" s="70"/>
      <c r="H266" s="70"/>
    </row>
    <row r="267">
      <c r="A267" s="28" t="s">
        <v>109</v>
      </c>
      <c r="B267" s="28">
        <v>80000.0</v>
      </c>
      <c r="C267" s="70"/>
      <c r="D267" s="70"/>
      <c r="E267" s="70"/>
      <c r="F267" s="70"/>
      <c r="G267" s="70"/>
      <c r="H267" s="70"/>
    </row>
    <row r="268">
      <c r="A268" s="28" t="s">
        <v>110</v>
      </c>
      <c r="B268" s="28">
        <v>18000.0</v>
      </c>
      <c r="C268" s="70"/>
      <c r="D268" s="70"/>
      <c r="E268" s="70"/>
      <c r="F268" s="70"/>
      <c r="G268" s="70"/>
      <c r="H268" s="70"/>
    </row>
    <row r="269">
      <c r="A269" s="28" t="s">
        <v>111</v>
      </c>
      <c r="B269" s="28">
        <v>80000.0</v>
      </c>
      <c r="C269" s="70"/>
      <c r="D269" s="70"/>
      <c r="E269" s="70"/>
      <c r="F269" s="70"/>
      <c r="G269" s="70"/>
      <c r="H269" s="70"/>
    </row>
    <row r="270">
      <c r="A270" s="101" t="s">
        <v>112</v>
      </c>
      <c r="B270" s="95">
        <f>B263-SUM(B265:B269)</f>
        <v>216935.4628</v>
      </c>
      <c r="C270" s="70"/>
    </row>
    <row r="271">
      <c r="A271" s="92" t="s">
        <v>113</v>
      </c>
      <c r="B271" s="102">
        <f>B270/B247</f>
        <v>0.02204312877</v>
      </c>
      <c r="C271" s="70"/>
    </row>
    <row r="272">
      <c r="A272" s="70"/>
      <c r="B272" s="70"/>
      <c r="C272" s="70"/>
    </row>
    <row r="273">
      <c r="A273" s="70"/>
      <c r="B273" s="70"/>
      <c r="C273" s="70"/>
    </row>
    <row r="274">
      <c r="A274" s="70"/>
      <c r="B274" s="70"/>
      <c r="C274" s="70"/>
    </row>
    <row r="275">
      <c r="A275" s="70"/>
      <c r="B275" s="70"/>
      <c r="C275" s="7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3.63"/>
    <col customWidth="1" min="5" max="5" width="12.88"/>
    <col customWidth="1" min="9" max="9" width="14.63"/>
    <col customWidth="1" min="11" max="12" width="15.0"/>
    <col customWidth="1" min="14" max="14" width="13.75"/>
    <col customWidth="1" min="16" max="16" width="15.13"/>
    <col customWidth="1" min="17" max="17" width="11.38"/>
  </cols>
  <sheetData>
    <row r="1">
      <c r="A1" s="1" t="s">
        <v>168</v>
      </c>
      <c r="B1" s="19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9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>
      <c r="A3" s="5" t="s">
        <v>2</v>
      </c>
      <c r="B3" s="196" t="s">
        <v>128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</row>
    <row r="4">
      <c r="A4" s="5" t="s">
        <v>21</v>
      </c>
      <c r="B4" s="197">
        <v>1196483.15</v>
      </c>
      <c r="C4" s="9">
        <f t="shared" ref="C4:C11" si="1">G4+J4+L4</f>
        <v>551420</v>
      </c>
      <c r="D4" s="240"/>
      <c r="E4" s="11">
        <f t="shared" ref="E4:E11" si="2">D4/B4*100</f>
        <v>0</v>
      </c>
      <c r="F4" s="12">
        <f t="shared" ref="F4:F11" si="3">D4/K4</f>
        <v>0</v>
      </c>
      <c r="G4" s="13"/>
      <c r="H4" s="8">
        <v>2038.0</v>
      </c>
      <c r="I4" s="8">
        <v>2000.0</v>
      </c>
      <c r="J4" s="14">
        <f t="shared" ref="J4:J11" si="4">K4*T4</f>
        <v>365420</v>
      </c>
      <c r="K4" s="8">
        <v>1661.0</v>
      </c>
      <c r="L4" s="15">
        <f t="shared" ref="L4:L34" si="5">I4*93</f>
        <v>186000</v>
      </c>
      <c r="M4" s="16">
        <f t="shared" ref="M4:M34" si="6">I4-K4-N4</f>
        <v>154</v>
      </c>
      <c r="N4" s="8">
        <v>185.0</v>
      </c>
      <c r="O4" s="17">
        <f t="shared" ref="O4:O34" si="7">IFERROR(M4/I4*100,0)</f>
        <v>7.7</v>
      </c>
      <c r="P4" s="18">
        <f t="shared" ref="P4:P19" si="8">I4/H4*100</f>
        <v>98.13542689</v>
      </c>
      <c r="Q4" s="19">
        <f t="shared" ref="Q4:Q19" si="9">K4/I4*100</f>
        <v>83.05</v>
      </c>
      <c r="R4" s="12">
        <f t="shared" ref="R4:R11" si="10">G4/K4</f>
        <v>0</v>
      </c>
      <c r="S4" s="198">
        <f t="shared" ref="S4:S34" si="11">(I4-H4)/H4</f>
        <v>-0.01864573111</v>
      </c>
      <c r="T4" s="65">
        <v>220.0</v>
      </c>
      <c r="U4" s="3"/>
      <c r="V4" s="3" t="s">
        <v>21</v>
      </c>
      <c r="W4" s="241">
        <f>T4</f>
        <v>220</v>
      </c>
      <c r="X4" s="242"/>
      <c r="Y4" s="3"/>
      <c r="Z4" s="3"/>
    </row>
    <row r="5">
      <c r="A5" s="5" t="s">
        <v>22</v>
      </c>
      <c r="B5" s="197">
        <v>31703.54</v>
      </c>
      <c r="C5" s="9">
        <f t="shared" si="1"/>
        <v>12098</v>
      </c>
      <c r="D5" s="240"/>
      <c r="E5" s="11">
        <f t="shared" si="2"/>
        <v>0</v>
      </c>
      <c r="F5" s="12">
        <f t="shared" si="3"/>
        <v>0</v>
      </c>
      <c r="G5" s="13"/>
      <c r="H5" s="8">
        <v>26.0</v>
      </c>
      <c r="I5" s="8">
        <v>26.0</v>
      </c>
      <c r="J5" s="14">
        <f t="shared" si="4"/>
        <v>9680</v>
      </c>
      <c r="K5" s="8">
        <v>22.0</v>
      </c>
      <c r="L5" s="15">
        <f t="shared" si="5"/>
        <v>2418</v>
      </c>
      <c r="M5" s="16">
        <f t="shared" si="6"/>
        <v>2</v>
      </c>
      <c r="N5" s="8">
        <v>2.0</v>
      </c>
      <c r="O5" s="17">
        <f t="shared" si="7"/>
        <v>7.692307692</v>
      </c>
      <c r="P5" s="18">
        <f t="shared" si="8"/>
        <v>100</v>
      </c>
      <c r="Q5" s="19">
        <f t="shared" si="9"/>
        <v>84.61538462</v>
      </c>
      <c r="R5" s="12">
        <f t="shared" si="10"/>
        <v>0</v>
      </c>
      <c r="S5" s="198">
        <f t="shared" si="11"/>
        <v>0</v>
      </c>
      <c r="T5" s="65">
        <v>440.0</v>
      </c>
      <c r="U5" s="3"/>
      <c r="V5" s="3" t="s">
        <v>23</v>
      </c>
      <c r="W5" s="156">
        <v>304.0</v>
      </c>
      <c r="X5" s="41"/>
      <c r="Y5" s="3"/>
      <c r="Z5" s="3"/>
    </row>
    <row r="6">
      <c r="A6" s="5" t="s">
        <v>23</v>
      </c>
      <c r="B6" s="197">
        <v>2149467.14</v>
      </c>
      <c r="C6" s="21">
        <f t="shared" si="1"/>
        <v>1006528</v>
      </c>
      <c r="D6" s="243"/>
      <c r="E6" s="11">
        <f t="shared" si="2"/>
        <v>0</v>
      </c>
      <c r="F6" s="12">
        <f t="shared" si="3"/>
        <v>0</v>
      </c>
      <c r="G6" s="23"/>
      <c r="H6" s="8">
        <v>2968.0</v>
      </c>
      <c r="I6" s="8">
        <v>2896.0</v>
      </c>
      <c r="J6" s="14">
        <f t="shared" si="4"/>
        <v>737200</v>
      </c>
      <c r="K6" s="8">
        <v>2425.0</v>
      </c>
      <c r="L6" s="15">
        <f t="shared" si="5"/>
        <v>269328</v>
      </c>
      <c r="M6" s="16">
        <f t="shared" si="6"/>
        <v>310</v>
      </c>
      <c r="N6" s="8">
        <v>161.0</v>
      </c>
      <c r="O6" s="17">
        <f t="shared" si="7"/>
        <v>10.70441989</v>
      </c>
      <c r="P6" s="18">
        <f t="shared" si="8"/>
        <v>97.57412399</v>
      </c>
      <c r="Q6" s="19">
        <f t="shared" si="9"/>
        <v>83.73618785</v>
      </c>
      <c r="R6" s="12">
        <f t="shared" si="10"/>
        <v>0</v>
      </c>
      <c r="S6" s="198">
        <f t="shared" si="11"/>
        <v>-0.02425876011</v>
      </c>
      <c r="T6" s="65">
        <v>304.0</v>
      </c>
      <c r="U6" s="3"/>
      <c r="V6" s="3" t="s">
        <v>25</v>
      </c>
      <c r="W6" s="156">
        <v>662.0</v>
      </c>
      <c r="X6" s="41"/>
      <c r="Y6" s="3"/>
      <c r="Z6" s="3"/>
    </row>
    <row r="7">
      <c r="A7" s="5" t="s">
        <v>24</v>
      </c>
      <c r="B7" s="197">
        <v>70141.54</v>
      </c>
      <c r="C7" s="21">
        <f t="shared" si="1"/>
        <v>30000</v>
      </c>
      <c r="D7" s="243"/>
      <c r="E7" s="11">
        <f t="shared" si="2"/>
        <v>0</v>
      </c>
      <c r="F7" s="12">
        <f t="shared" si="3"/>
        <v>0</v>
      </c>
      <c r="G7" s="23"/>
      <c r="H7" s="8">
        <v>50.0</v>
      </c>
      <c r="I7" s="8">
        <v>48.0</v>
      </c>
      <c r="J7" s="14">
        <f t="shared" si="4"/>
        <v>25536</v>
      </c>
      <c r="K7" s="8">
        <v>42.0</v>
      </c>
      <c r="L7" s="15">
        <f t="shared" si="5"/>
        <v>4464</v>
      </c>
      <c r="M7" s="16">
        <f t="shared" si="6"/>
        <v>4</v>
      </c>
      <c r="N7" s="8">
        <v>2.0</v>
      </c>
      <c r="O7" s="17">
        <f t="shared" si="7"/>
        <v>8.333333333</v>
      </c>
      <c r="P7" s="18">
        <f t="shared" si="8"/>
        <v>96</v>
      </c>
      <c r="Q7" s="19">
        <f t="shared" si="9"/>
        <v>87.5</v>
      </c>
      <c r="R7" s="12">
        <f t="shared" si="10"/>
        <v>0</v>
      </c>
      <c r="S7" s="198">
        <f t="shared" si="11"/>
        <v>-0.04</v>
      </c>
      <c r="T7" s="65">
        <v>608.0</v>
      </c>
      <c r="U7" s="3"/>
      <c r="V7" s="3" t="s">
        <v>26</v>
      </c>
      <c r="W7" s="156">
        <v>184.0</v>
      </c>
      <c r="X7" s="41"/>
      <c r="Y7" s="3"/>
      <c r="Z7" s="3"/>
    </row>
    <row r="8">
      <c r="A8" s="5" t="s">
        <v>25</v>
      </c>
      <c r="B8" s="197">
        <v>177154.23</v>
      </c>
      <c r="C8" s="9">
        <f t="shared" si="1"/>
        <v>91754</v>
      </c>
      <c r="D8" s="240"/>
      <c r="E8" s="11">
        <f t="shared" si="2"/>
        <v>0</v>
      </c>
      <c r="F8" s="12">
        <f t="shared" si="3"/>
        <v>0</v>
      </c>
      <c r="G8" s="13"/>
      <c r="H8" s="8">
        <v>177.0</v>
      </c>
      <c r="I8" s="8">
        <v>168.0</v>
      </c>
      <c r="J8" s="14">
        <f t="shared" si="4"/>
        <v>76130</v>
      </c>
      <c r="K8" s="8">
        <v>115.0</v>
      </c>
      <c r="L8" s="15">
        <f t="shared" si="5"/>
        <v>15624</v>
      </c>
      <c r="M8" s="16">
        <f t="shared" si="6"/>
        <v>8</v>
      </c>
      <c r="N8" s="8">
        <v>45.0</v>
      </c>
      <c r="O8" s="17">
        <f t="shared" si="7"/>
        <v>4.761904762</v>
      </c>
      <c r="P8" s="18">
        <f t="shared" si="8"/>
        <v>94.91525424</v>
      </c>
      <c r="Q8" s="19">
        <f t="shared" si="9"/>
        <v>68.45238095</v>
      </c>
      <c r="R8" s="12">
        <f t="shared" si="10"/>
        <v>0</v>
      </c>
      <c r="S8" s="198">
        <f t="shared" si="11"/>
        <v>-0.05084745763</v>
      </c>
      <c r="T8" s="65">
        <v>662.0</v>
      </c>
      <c r="U8" s="3"/>
      <c r="V8" s="3" t="s">
        <v>169</v>
      </c>
      <c r="W8" s="156"/>
      <c r="X8" s="41"/>
      <c r="Y8" s="3"/>
      <c r="Z8" s="3"/>
    </row>
    <row r="9">
      <c r="A9" s="5" t="s">
        <v>26</v>
      </c>
      <c r="B9" s="197">
        <v>117929.53</v>
      </c>
      <c r="C9" s="9">
        <f t="shared" si="1"/>
        <v>78963</v>
      </c>
      <c r="D9" s="240"/>
      <c r="E9" s="11">
        <f t="shared" si="2"/>
        <v>0</v>
      </c>
      <c r="F9" s="12">
        <f t="shared" si="3"/>
        <v>0</v>
      </c>
      <c r="G9" s="13"/>
      <c r="H9" s="8">
        <v>308.0</v>
      </c>
      <c r="I9" s="8">
        <v>303.0</v>
      </c>
      <c r="J9" s="14">
        <f t="shared" si="4"/>
        <v>50784</v>
      </c>
      <c r="K9" s="8">
        <v>276.0</v>
      </c>
      <c r="L9" s="15">
        <f t="shared" si="5"/>
        <v>28179</v>
      </c>
      <c r="M9" s="16">
        <f t="shared" si="6"/>
        <v>19</v>
      </c>
      <c r="N9" s="8">
        <v>8.0</v>
      </c>
      <c r="O9" s="17">
        <f t="shared" si="7"/>
        <v>6.270627063</v>
      </c>
      <c r="P9" s="18">
        <f t="shared" si="8"/>
        <v>98.37662338</v>
      </c>
      <c r="Q9" s="19">
        <f t="shared" si="9"/>
        <v>91.08910891</v>
      </c>
      <c r="R9" s="12">
        <f t="shared" si="10"/>
        <v>0</v>
      </c>
      <c r="S9" s="198">
        <f t="shared" si="11"/>
        <v>-0.01623376623</v>
      </c>
      <c r="T9" s="65">
        <v>184.0</v>
      </c>
      <c r="U9" s="3"/>
      <c r="V9" s="3" t="s">
        <v>170</v>
      </c>
      <c r="W9" s="156">
        <v>308.0</v>
      </c>
      <c r="X9" s="41"/>
      <c r="Y9" s="3"/>
      <c r="Z9" s="3"/>
    </row>
    <row r="10">
      <c r="A10" s="5" t="s">
        <v>27</v>
      </c>
      <c r="B10" s="197">
        <v>25139.86</v>
      </c>
      <c r="C10" s="9">
        <f t="shared" si="1"/>
        <v>14756</v>
      </c>
      <c r="D10" s="240"/>
      <c r="E10" s="11">
        <f t="shared" si="2"/>
        <v>0</v>
      </c>
      <c r="F10" s="12">
        <f t="shared" si="3"/>
        <v>0</v>
      </c>
      <c r="G10" s="13"/>
      <c r="H10" s="8">
        <v>37.0</v>
      </c>
      <c r="I10" s="8">
        <v>36.0</v>
      </c>
      <c r="J10" s="14">
        <f t="shared" si="4"/>
        <v>11408</v>
      </c>
      <c r="K10" s="8">
        <v>31.0</v>
      </c>
      <c r="L10" s="15">
        <f t="shared" si="5"/>
        <v>3348</v>
      </c>
      <c r="M10" s="16">
        <f t="shared" si="6"/>
        <v>4</v>
      </c>
      <c r="N10" s="8">
        <v>1.0</v>
      </c>
      <c r="O10" s="17">
        <f t="shared" si="7"/>
        <v>11.11111111</v>
      </c>
      <c r="P10" s="18">
        <f t="shared" si="8"/>
        <v>97.2972973</v>
      </c>
      <c r="Q10" s="19">
        <f t="shared" si="9"/>
        <v>86.11111111</v>
      </c>
      <c r="R10" s="12">
        <f t="shared" si="10"/>
        <v>0</v>
      </c>
      <c r="S10" s="198">
        <f t="shared" si="11"/>
        <v>-0.02702702703</v>
      </c>
      <c r="T10" s="65">
        <v>368.0</v>
      </c>
      <c r="U10" s="3"/>
      <c r="V10" s="3" t="s">
        <v>31</v>
      </c>
      <c r="W10" s="156"/>
      <c r="X10" s="41"/>
      <c r="Y10" s="3"/>
      <c r="Z10" s="3"/>
    </row>
    <row r="11">
      <c r="A11" s="5" t="s">
        <v>154</v>
      </c>
      <c r="B11" s="197">
        <v>2368.1</v>
      </c>
      <c r="C11" s="9">
        <f t="shared" si="1"/>
        <v>922</v>
      </c>
      <c r="D11" s="240"/>
      <c r="E11" s="11">
        <f t="shared" si="2"/>
        <v>0</v>
      </c>
      <c r="F11" s="12">
        <f t="shared" si="3"/>
        <v>0</v>
      </c>
      <c r="G11" s="13"/>
      <c r="H11" s="8">
        <v>2.0</v>
      </c>
      <c r="I11" s="8">
        <v>2.0</v>
      </c>
      <c r="J11" s="14">
        <f t="shared" si="4"/>
        <v>736</v>
      </c>
      <c r="K11" s="8">
        <v>2.0</v>
      </c>
      <c r="L11" s="15">
        <f t="shared" si="5"/>
        <v>186</v>
      </c>
      <c r="M11" s="16">
        <f t="shared" si="6"/>
        <v>0</v>
      </c>
      <c r="N11" s="13"/>
      <c r="O11" s="17">
        <f t="shared" si="7"/>
        <v>0</v>
      </c>
      <c r="P11" s="18">
        <f t="shared" si="8"/>
        <v>100</v>
      </c>
      <c r="Q11" s="19">
        <f t="shared" si="9"/>
        <v>100</v>
      </c>
      <c r="R11" s="12">
        <f t="shared" si="10"/>
        <v>0</v>
      </c>
      <c r="S11" s="198">
        <f t="shared" si="11"/>
        <v>0</v>
      </c>
      <c r="T11" s="65">
        <v>368.0</v>
      </c>
      <c r="U11" s="3"/>
      <c r="V11" s="3" t="s">
        <v>32</v>
      </c>
      <c r="W11" s="156">
        <v>699.0</v>
      </c>
      <c r="X11" s="3"/>
      <c r="Y11" s="3"/>
      <c r="Z11" s="3"/>
    </row>
    <row r="12">
      <c r="A12" s="5" t="s">
        <v>28</v>
      </c>
      <c r="B12" s="197">
        <v>0.0</v>
      </c>
      <c r="C12" s="9">
        <v>0.0</v>
      </c>
      <c r="D12" s="240"/>
      <c r="E12" s="11">
        <v>0.0</v>
      </c>
      <c r="F12" s="12">
        <v>0.0</v>
      </c>
      <c r="G12" s="13"/>
      <c r="H12" s="8">
        <v>0.0</v>
      </c>
      <c r="I12" s="8">
        <v>0.0</v>
      </c>
      <c r="J12" s="14">
        <v>0.0</v>
      </c>
      <c r="K12" s="8">
        <v>0.0</v>
      </c>
      <c r="L12" s="15">
        <f t="shared" si="5"/>
        <v>0</v>
      </c>
      <c r="M12" s="16">
        <f t="shared" si="6"/>
        <v>0</v>
      </c>
      <c r="N12" s="13"/>
      <c r="O12" s="17">
        <f t="shared" si="7"/>
        <v>0</v>
      </c>
      <c r="P12" s="18" t="str">
        <f t="shared" si="8"/>
        <v>#DIV/0!</v>
      </c>
      <c r="Q12" s="19" t="str">
        <f t="shared" si="9"/>
        <v>#DIV/0!</v>
      </c>
      <c r="R12" s="155"/>
      <c r="S12" s="198" t="str">
        <f t="shared" si="11"/>
        <v>#DIV/0!</v>
      </c>
      <c r="T12" s="65">
        <v>206.0</v>
      </c>
      <c r="U12" s="3"/>
      <c r="V12" s="3" t="s">
        <v>33</v>
      </c>
      <c r="W12" s="156">
        <v>778.0</v>
      </c>
      <c r="X12" s="41"/>
      <c r="Y12" s="3"/>
      <c r="Z12" s="3"/>
    </row>
    <row r="13">
      <c r="A13" s="5" t="s">
        <v>29</v>
      </c>
      <c r="B13" s="197">
        <v>1913521.99</v>
      </c>
      <c r="C13" s="9">
        <f t="shared" ref="C13:C15" si="12">G13+J13+L13</f>
        <v>926317</v>
      </c>
      <c r="D13" s="240"/>
      <c r="E13" s="11">
        <f t="shared" ref="E13:E19" si="13">D13/B13*100</f>
        <v>0</v>
      </c>
      <c r="F13" s="12">
        <f t="shared" ref="F13:F15" si="14">D13/K13</f>
        <v>0</v>
      </c>
      <c r="G13" s="13"/>
      <c r="H13" s="8">
        <v>2755.0</v>
      </c>
      <c r="I13" s="8">
        <v>2681.0</v>
      </c>
      <c r="J13" s="14">
        <f t="shared" ref="J13:J34" si="15">K13*T13</f>
        <v>676984</v>
      </c>
      <c r="K13" s="8">
        <v>2198.0</v>
      </c>
      <c r="L13" s="15">
        <f t="shared" si="5"/>
        <v>249333</v>
      </c>
      <c r="M13" s="16">
        <f t="shared" si="6"/>
        <v>263</v>
      </c>
      <c r="N13" s="8">
        <v>220.0</v>
      </c>
      <c r="O13" s="17">
        <f t="shared" si="7"/>
        <v>9.809772473</v>
      </c>
      <c r="P13" s="18">
        <f t="shared" si="8"/>
        <v>97.31397459</v>
      </c>
      <c r="Q13" s="19">
        <f t="shared" si="9"/>
        <v>81.9843342</v>
      </c>
      <c r="R13" s="12">
        <f t="shared" ref="R13:R15" si="16">G13/K13</f>
        <v>0</v>
      </c>
      <c r="S13" s="198">
        <f t="shared" si="11"/>
        <v>-0.02686025408</v>
      </c>
      <c r="T13" s="65">
        <v>308.0</v>
      </c>
      <c r="U13" s="3"/>
      <c r="V13" s="3" t="s">
        <v>131</v>
      </c>
      <c r="W13" s="156">
        <v>780.0</v>
      </c>
      <c r="X13" s="41"/>
      <c r="Y13" s="3"/>
      <c r="Z13" s="3"/>
    </row>
    <row r="14">
      <c r="A14" s="5" t="s">
        <v>30</v>
      </c>
      <c r="B14" s="197">
        <v>66895.66</v>
      </c>
      <c r="C14" s="21">
        <f t="shared" si="12"/>
        <v>28488</v>
      </c>
      <c r="D14" s="243"/>
      <c r="E14" s="11">
        <f t="shared" si="13"/>
        <v>0</v>
      </c>
      <c r="F14" s="12">
        <f t="shared" si="14"/>
        <v>0</v>
      </c>
      <c r="G14" s="23"/>
      <c r="H14" s="8">
        <v>51.0</v>
      </c>
      <c r="I14" s="8">
        <v>48.0</v>
      </c>
      <c r="J14" s="14">
        <f t="shared" si="15"/>
        <v>24024</v>
      </c>
      <c r="K14" s="8">
        <v>39.0</v>
      </c>
      <c r="L14" s="15">
        <f t="shared" si="5"/>
        <v>4464</v>
      </c>
      <c r="M14" s="16">
        <f t="shared" si="6"/>
        <v>3</v>
      </c>
      <c r="N14" s="8">
        <v>6.0</v>
      </c>
      <c r="O14" s="17">
        <f t="shared" si="7"/>
        <v>6.25</v>
      </c>
      <c r="P14" s="18">
        <f t="shared" si="8"/>
        <v>94.11764706</v>
      </c>
      <c r="Q14" s="19">
        <f t="shared" si="9"/>
        <v>81.25</v>
      </c>
      <c r="R14" s="12">
        <f t="shared" si="16"/>
        <v>0</v>
      </c>
      <c r="S14" s="198">
        <f t="shared" si="11"/>
        <v>-0.05882352941</v>
      </c>
      <c r="T14" s="65">
        <v>616.0</v>
      </c>
      <c r="U14" s="3"/>
      <c r="V14" s="3"/>
      <c r="W14" s="156"/>
      <c r="X14" s="41"/>
      <c r="Y14" s="3"/>
      <c r="Z14" s="3"/>
    </row>
    <row r="15">
      <c r="A15" s="5" t="s">
        <v>31</v>
      </c>
      <c r="B15" s="197">
        <v>0.0</v>
      </c>
      <c r="C15" s="21">
        <f t="shared" si="12"/>
        <v>0</v>
      </c>
      <c r="D15" s="243"/>
      <c r="E15" s="11" t="str">
        <f t="shared" si="13"/>
        <v>#DIV/0!</v>
      </c>
      <c r="F15" s="12" t="str">
        <f t="shared" si="14"/>
        <v>#DIV/0!</v>
      </c>
      <c r="G15" s="23"/>
      <c r="H15" s="8">
        <v>0.0</v>
      </c>
      <c r="I15" s="8">
        <v>0.0</v>
      </c>
      <c r="J15" s="14">
        <f t="shared" si="15"/>
        <v>0</v>
      </c>
      <c r="K15" s="8">
        <v>0.0</v>
      </c>
      <c r="L15" s="15">
        <f t="shared" si="5"/>
        <v>0</v>
      </c>
      <c r="M15" s="16">
        <f t="shared" si="6"/>
        <v>0</v>
      </c>
      <c r="N15" s="13"/>
      <c r="O15" s="17">
        <f t="shared" si="7"/>
        <v>0</v>
      </c>
      <c r="P15" s="18" t="str">
        <f t="shared" si="8"/>
        <v>#DIV/0!</v>
      </c>
      <c r="Q15" s="19" t="str">
        <f t="shared" si="9"/>
        <v>#DIV/0!</v>
      </c>
      <c r="R15" s="12" t="str">
        <f t="shared" si="16"/>
        <v>#DIV/0!</v>
      </c>
      <c r="S15" s="198" t="str">
        <f t="shared" si="11"/>
        <v>#DIV/0!</v>
      </c>
      <c r="T15" s="65">
        <v>435.0</v>
      </c>
      <c r="U15" s="3"/>
      <c r="V15" s="3"/>
      <c r="W15" s="156"/>
      <c r="X15" s="41"/>
      <c r="Y15" s="3"/>
      <c r="Z15" s="3"/>
    </row>
    <row r="16">
      <c r="A16" s="5" t="s">
        <v>32</v>
      </c>
      <c r="B16" s="197">
        <v>18926.61</v>
      </c>
      <c r="C16" s="21">
        <v>0.0</v>
      </c>
      <c r="D16" s="243"/>
      <c r="E16" s="11">
        <f t="shared" si="13"/>
        <v>0</v>
      </c>
      <c r="F16" s="12">
        <v>0.0</v>
      </c>
      <c r="G16" s="23"/>
      <c r="H16" s="8">
        <v>27.0</v>
      </c>
      <c r="I16" s="8">
        <v>14.0</v>
      </c>
      <c r="J16" s="14">
        <f t="shared" si="15"/>
        <v>8388</v>
      </c>
      <c r="K16" s="8">
        <v>12.0</v>
      </c>
      <c r="L16" s="15">
        <f t="shared" si="5"/>
        <v>1302</v>
      </c>
      <c r="M16" s="16">
        <f t="shared" si="6"/>
        <v>2</v>
      </c>
      <c r="N16" s="13"/>
      <c r="O16" s="17">
        <f t="shared" si="7"/>
        <v>14.28571429</v>
      </c>
      <c r="P16" s="18">
        <f t="shared" si="8"/>
        <v>51.85185185</v>
      </c>
      <c r="Q16" s="19">
        <f t="shared" si="9"/>
        <v>85.71428571</v>
      </c>
      <c r="R16" s="155"/>
      <c r="S16" s="198">
        <f t="shared" si="11"/>
        <v>-0.4814814815</v>
      </c>
      <c r="T16" s="65">
        <v>699.0</v>
      </c>
      <c r="U16" s="3"/>
      <c r="V16" s="3"/>
      <c r="W16" s="156"/>
      <c r="X16" s="3"/>
      <c r="Y16" s="3"/>
      <c r="Z16" s="3"/>
    </row>
    <row r="17">
      <c r="A17" s="5" t="s">
        <v>33</v>
      </c>
      <c r="B17" s="197">
        <v>1758860.64</v>
      </c>
      <c r="C17" s="21">
        <f t="shared" ref="C17:C19" si="17">G17+J17+L17</f>
        <v>971694</v>
      </c>
      <c r="D17" s="243"/>
      <c r="E17" s="11">
        <f t="shared" si="13"/>
        <v>0</v>
      </c>
      <c r="F17" s="12">
        <f t="shared" ref="F17:F19" si="18">D17/K17</f>
        <v>0</v>
      </c>
      <c r="G17" s="23"/>
      <c r="H17" s="8">
        <v>1330.0</v>
      </c>
      <c r="I17" s="8">
        <v>1288.0</v>
      </c>
      <c r="J17" s="14">
        <f t="shared" si="15"/>
        <v>851910</v>
      </c>
      <c r="K17" s="8">
        <v>1095.0</v>
      </c>
      <c r="L17" s="15">
        <f t="shared" si="5"/>
        <v>119784</v>
      </c>
      <c r="M17" s="16">
        <f t="shared" si="6"/>
        <v>101</v>
      </c>
      <c r="N17" s="8">
        <v>92.0</v>
      </c>
      <c r="O17" s="17">
        <f t="shared" si="7"/>
        <v>7.841614907</v>
      </c>
      <c r="P17" s="18">
        <f t="shared" si="8"/>
        <v>96.84210526</v>
      </c>
      <c r="Q17" s="19">
        <f t="shared" si="9"/>
        <v>85.01552795</v>
      </c>
      <c r="R17" s="12">
        <f t="shared" ref="R17:R19" si="19">G17/K17</f>
        <v>0</v>
      </c>
      <c r="S17" s="198">
        <f t="shared" si="11"/>
        <v>-0.03157894737</v>
      </c>
      <c r="T17" s="65">
        <v>778.0</v>
      </c>
      <c r="U17" s="3"/>
      <c r="V17" s="3"/>
      <c r="W17" s="3"/>
      <c r="X17" s="3"/>
      <c r="Y17" s="3"/>
      <c r="Z17" s="3"/>
    </row>
    <row r="18">
      <c r="A18" s="5" t="s">
        <v>34</v>
      </c>
      <c r="B18" s="197">
        <v>52504.46</v>
      </c>
      <c r="C18" s="21">
        <f t="shared" si="17"/>
        <v>33073</v>
      </c>
      <c r="D18" s="243"/>
      <c r="E18" s="11">
        <f t="shared" si="13"/>
        <v>0</v>
      </c>
      <c r="F18" s="12">
        <f t="shared" si="18"/>
        <v>0</v>
      </c>
      <c r="G18" s="23"/>
      <c r="H18" s="8">
        <v>23.0</v>
      </c>
      <c r="I18" s="8">
        <v>21.0</v>
      </c>
      <c r="J18" s="14">
        <f t="shared" si="15"/>
        <v>31120</v>
      </c>
      <c r="K18" s="8">
        <v>20.0</v>
      </c>
      <c r="L18" s="15">
        <f t="shared" si="5"/>
        <v>1953</v>
      </c>
      <c r="M18" s="16">
        <f t="shared" si="6"/>
        <v>0</v>
      </c>
      <c r="N18" s="8">
        <v>1.0</v>
      </c>
      <c r="O18" s="17">
        <f t="shared" si="7"/>
        <v>0</v>
      </c>
      <c r="P18" s="18">
        <f t="shared" si="8"/>
        <v>91.30434783</v>
      </c>
      <c r="Q18" s="19">
        <f t="shared" si="9"/>
        <v>95.23809524</v>
      </c>
      <c r="R18" s="12">
        <f t="shared" si="19"/>
        <v>0</v>
      </c>
      <c r="S18" s="198">
        <f t="shared" si="11"/>
        <v>-0.08695652174</v>
      </c>
      <c r="T18" s="65">
        <v>1556.0</v>
      </c>
      <c r="U18" s="3"/>
      <c r="V18" s="3"/>
      <c r="W18" s="3"/>
      <c r="X18" s="3"/>
      <c r="Y18" s="3"/>
      <c r="Z18" s="3"/>
    </row>
    <row r="19">
      <c r="A19" s="5" t="s">
        <v>131</v>
      </c>
      <c r="B19" s="197">
        <v>15703.28</v>
      </c>
      <c r="C19" s="21">
        <f t="shared" si="17"/>
        <v>10104</v>
      </c>
      <c r="D19" s="243"/>
      <c r="E19" s="11">
        <f t="shared" si="13"/>
        <v>0</v>
      </c>
      <c r="F19" s="12">
        <f t="shared" si="18"/>
        <v>0</v>
      </c>
      <c r="G19" s="23"/>
      <c r="H19" s="8">
        <v>43.0</v>
      </c>
      <c r="I19" s="8">
        <v>11.0</v>
      </c>
      <c r="J19" s="14">
        <f t="shared" si="15"/>
        <v>9081</v>
      </c>
      <c r="K19" s="8">
        <v>9.0</v>
      </c>
      <c r="L19" s="15">
        <f t="shared" si="5"/>
        <v>1023</v>
      </c>
      <c r="M19" s="16">
        <f t="shared" si="6"/>
        <v>1</v>
      </c>
      <c r="N19" s="8">
        <v>1.0</v>
      </c>
      <c r="O19" s="17">
        <f t="shared" si="7"/>
        <v>9.090909091</v>
      </c>
      <c r="P19" s="18">
        <f t="shared" si="8"/>
        <v>25.58139535</v>
      </c>
      <c r="Q19" s="19">
        <f t="shared" si="9"/>
        <v>81.81818182</v>
      </c>
      <c r="R19" s="12">
        <f t="shared" si="19"/>
        <v>0</v>
      </c>
      <c r="S19" s="198">
        <f t="shared" si="11"/>
        <v>-0.7441860465</v>
      </c>
      <c r="T19" s="65">
        <v>1009.0</v>
      </c>
      <c r="U19" s="3"/>
      <c r="V19" s="3"/>
      <c r="W19" s="3"/>
      <c r="X19" s="3"/>
      <c r="Y19" s="3"/>
      <c r="Z19" s="3"/>
    </row>
    <row r="20">
      <c r="A20" s="5" t="s">
        <v>37</v>
      </c>
      <c r="B20" s="197">
        <v>0.0</v>
      </c>
      <c r="C20" s="21">
        <v>0.0</v>
      </c>
      <c r="D20" s="243"/>
      <c r="E20" s="11">
        <v>0.0</v>
      </c>
      <c r="F20" s="12">
        <v>0.0</v>
      </c>
      <c r="G20" s="23"/>
      <c r="H20" s="8">
        <v>0.0</v>
      </c>
      <c r="I20" s="8">
        <v>0.0</v>
      </c>
      <c r="J20" s="14">
        <f t="shared" si="15"/>
        <v>0</v>
      </c>
      <c r="K20" s="8">
        <v>0.0</v>
      </c>
      <c r="L20" s="15">
        <f t="shared" si="5"/>
        <v>0</v>
      </c>
      <c r="M20" s="16">
        <f t="shared" si="6"/>
        <v>0</v>
      </c>
      <c r="N20" s="13"/>
      <c r="O20" s="17">
        <f t="shared" si="7"/>
        <v>0</v>
      </c>
      <c r="P20" s="18">
        <v>0.0</v>
      </c>
      <c r="Q20" s="19">
        <v>0.0</v>
      </c>
      <c r="R20" s="12">
        <v>0.0</v>
      </c>
      <c r="S20" s="198" t="str">
        <f t="shared" si="11"/>
        <v>#DIV/0!</v>
      </c>
      <c r="T20" s="65">
        <v>250.0</v>
      </c>
      <c r="U20" s="3"/>
      <c r="V20" s="3"/>
      <c r="W20" s="3"/>
      <c r="X20" s="3"/>
      <c r="Y20" s="3"/>
      <c r="Z20" s="3"/>
    </row>
    <row r="21">
      <c r="A21" s="5" t="s">
        <v>132</v>
      </c>
      <c r="B21" s="197">
        <v>52539.01</v>
      </c>
      <c r="C21" s="21">
        <f t="shared" ref="C21:C34" si="20">G21+J21+L21</f>
        <v>24768</v>
      </c>
      <c r="D21" s="243"/>
      <c r="E21" s="11">
        <f t="shared" ref="E21:E34" si="21">D21/B21*100</f>
        <v>0</v>
      </c>
      <c r="F21" s="12">
        <f t="shared" ref="F21:F34" si="22">D21/K21</f>
        <v>0</v>
      </c>
      <c r="G21" s="23"/>
      <c r="H21" s="8">
        <v>76.0</v>
      </c>
      <c r="I21" s="8">
        <v>76.0</v>
      </c>
      <c r="J21" s="14">
        <f t="shared" si="15"/>
        <v>17700</v>
      </c>
      <c r="K21" s="8">
        <v>59.0</v>
      </c>
      <c r="L21" s="15">
        <f t="shared" si="5"/>
        <v>7068</v>
      </c>
      <c r="M21" s="16">
        <f t="shared" si="6"/>
        <v>17</v>
      </c>
      <c r="N21" s="13"/>
      <c r="O21" s="17">
        <f t="shared" si="7"/>
        <v>22.36842105</v>
      </c>
      <c r="P21" s="18">
        <f t="shared" ref="P21:P34" si="23">I21/H21*100</f>
        <v>100</v>
      </c>
      <c r="Q21" s="19">
        <f t="shared" ref="Q21:Q34" si="24">K21/I21*100</f>
        <v>77.63157895</v>
      </c>
      <c r="R21" s="12">
        <f t="shared" ref="R21:R34" si="25">G21/K21</f>
        <v>0</v>
      </c>
      <c r="S21" s="198">
        <f t="shared" si="11"/>
        <v>0</v>
      </c>
      <c r="T21" s="65">
        <v>300.0</v>
      </c>
      <c r="U21" s="3"/>
      <c r="V21" s="3"/>
      <c r="W21" s="3"/>
      <c r="X21" s="3"/>
      <c r="Y21" s="3"/>
      <c r="Z21" s="3"/>
    </row>
    <row r="22">
      <c r="A22" s="5" t="s">
        <v>146</v>
      </c>
      <c r="B22" s="197">
        <v>169868.97</v>
      </c>
      <c r="C22" s="21">
        <f t="shared" si="20"/>
        <v>83520</v>
      </c>
      <c r="D22" s="243"/>
      <c r="E22" s="11">
        <f t="shared" si="21"/>
        <v>0</v>
      </c>
      <c r="F22" s="12">
        <f t="shared" si="22"/>
        <v>0</v>
      </c>
      <c r="G22" s="23"/>
      <c r="H22" s="8">
        <v>258.0</v>
      </c>
      <c r="I22" s="8">
        <v>240.0</v>
      </c>
      <c r="J22" s="14">
        <f t="shared" si="15"/>
        <v>61200</v>
      </c>
      <c r="K22" s="8">
        <v>204.0</v>
      </c>
      <c r="L22" s="15">
        <f t="shared" si="5"/>
        <v>22320</v>
      </c>
      <c r="M22" s="16">
        <f t="shared" si="6"/>
        <v>11</v>
      </c>
      <c r="N22" s="8">
        <v>25.0</v>
      </c>
      <c r="O22" s="17">
        <f t="shared" si="7"/>
        <v>4.583333333</v>
      </c>
      <c r="P22" s="18">
        <f t="shared" si="23"/>
        <v>93.02325581</v>
      </c>
      <c r="Q22" s="19">
        <f t="shared" si="24"/>
        <v>85</v>
      </c>
      <c r="R22" s="12">
        <f t="shared" si="25"/>
        <v>0</v>
      </c>
      <c r="S22" s="198">
        <f t="shared" si="11"/>
        <v>-0.06976744186</v>
      </c>
      <c r="T22" s="65">
        <v>300.0</v>
      </c>
      <c r="U22" s="3"/>
      <c r="V22" s="3"/>
      <c r="W22" s="3"/>
      <c r="X22" s="3"/>
      <c r="Y22" s="3"/>
      <c r="Z22" s="3"/>
    </row>
    <row r="23">
      <c r="A23" s="5" t="s">
        <v>133</v>
      </c>
      <c r="B23" s="197">
        <v>0.0</v>
      </c>
      <c r="C23" s="21">
        <f t="shared" si="20"/>
        <v>0</v>
      </c>
      <c r="D23" s="243"/>
      <c r="E23" s="11" t="str">
        <f t="shared" si="21"/>
        <v>#DIV/0!</v>
      </c>
      <c r="F23" s="12" t="str">
        <f t="shared" si="22"/>
        <v>#DIV/0!</v>
      </c>
      <c r="G23" s="23"/>
      <c r="H23" s="8">
        <v>0.0</v>
      </c>
      <c r="I23" s="8">
        <v>0.0</v>
      </c>
      <c r="J23" s="14">
        <f t="shared" si="15"/>
        <v>0</v>
      </c>
      <c r="K23" s="8">
        <v>0.0</v>
      </c>
      <c r="L23" s="15">
        <f t="shared" si="5"/>
        <v>0</v>
      </c>
      <c r="M23" s="16">
        <f t="shared" si="6"/>
        <v>-14</v>
      </c>
      <c r="N23" s="8">
        <v>14.0</v>
      </c>
      <c r="O23" s="17">
        <f t="shared" si="7"/>
        <v>0</v>
      </c>
      <c r="P23" s="18" t="str">
        <f t="shared" si="23"/>
        <v>#DIV/0!</v>
      </c>
      <c r="Q23" s="19" t="str">
        <f t="shared" si="24"/>
        <v>#DIV/0!</v>
      </c>
      <c r="R23" s="12" t="str">
        <f t="shared" si="25"/>
        <v>#DIV/0!</v>
      </c>
      <c r="S23" s="198" t="str">
        <f t="shared" si="11"/>
        <v>#DIV/0!</v>
      </c>
      <c r="T23" s="65">
        <v>300.0</v>
      </c>
      <c r="U23" s="3"/>
      <c r="V23" s="3"/>
      <c r="W23" s="3"/>
      <c r="X23" s="3"/>
      <c r="Y23" s="3"/>
      <c r="Z23" s="3"/>
    </row>
    <row r="24">
      <c r="A24" s="5" t="s">
        <v>134</v>
      </c>
      <c r="B24" s="197">
        <v>71297.16</v>
      </c>
      <c r="C24" s="21">
        <f t="shared" si="20"/>
        <v>36003</v>
      </c>
      <c r="D24" s="243"/>
      <c r="E24" s="11">
        <f t="shared" si="21"/>
        <v>0</v>
      </c>
      <c r="F24" s="12">
        <f t="shared" si="22"/>
        <v>0</v>
      </c>
      <c r="G24" s="23"/>
      <c r="H24" s="8">
        <v>37.0</v>
      </c>
      <c r="I24" s="8">
        <v>31.0</v>
      </c>
      <c r="J24" s="14">
        <f t="shared" si="15"/>
        <v>33120</v>
      </c>
      <c r="K24" s="8">
        <v>23.0</v>
      </c>
      <c r="L24" s="15">
        <f t="shared" si="5"/>
        <v>2883</v>
      </c>
      <c r="M24" s="16">
        <f t="shared" si="6"/>
        <v>2</v>
      </c>
      <c r="N24" s="8">
        <v>6.0</v>
      </c>
      <c r="O24" s="17">
        <f t="shared" si="7"/>
        <v>6.451612903</v>
      </c>
      <c r="P24" s="18">
        <f t="shared" si="23"/>
        <v>83.78378378</v>
      </c>
      <c r="Q24" s="19">
        <f t="shared" si="24"/>
        <v>74.19354839</v>
      </c>
      <c r="R24" s="12">
        <f t="shared" si="25"/>
        <v>0</v>
      </c>
      <c r="S24" s="198">
        <f t="shared" si="11"/>
        <v>-0.1621621622</v>
      </c>
      <c r="T24" s="65">
        <v>1440.0</v>
      </c>
      <c r="U24" s="3"/>
      <c r="V24" s="3"/>
      <c r="W24" s="3"/>
      <c r="X24" s="3"/>
      <c r="Y24" s="3"/>
      <c r="Z24" s="3"/>
    </row>
    <row r="25">
      <c r="A25" s="5" t="s">
        <v>135</v>
      </c>
      <c r="B25" s="197">
        <v>6654.09</v>
      </c>
      <c r="C25" s="21">
        <f t="shared" si="20"/>
        <v>3760</v>
      </c>
      <c r="D25" s="243"/>
      <c r="E25" s="11">
        <f t="shared" si="21"/>
        <v>0</v>
      </c>
      <c r="F25" s="12">
        <f t="shared" si="22"/>
        <v>0</v>
      </c>
      <c r="G25" s="23"/>
      <c r="H25" s="8">
        <v>15.0</v>
      </c>
      <c r="I25" s="8">
        <v>2.0</v>
      </c>
      <c r="J25" s="14">
        <f t="shared" si="15"/>
        <v>3574</v>
      </c>
      <c r="K25" s="8">
        <v>2.0</v>
      </c>
      <c r="L25" s="15">
        <f t="shared" si="5"/>
        <v>186</v>
      </c>
      <c r="M25" s="16">
        <f t="shared" si="6"/>
        <v>0</v>
      </c>
      <c r="N25" s="13"/>
      <c r="O25" s="17">
        <f t="shared" si="7"/>
        <v>0</v>
      </c>
      <c r="P25" s="18">
        <f t="shared" si="23"/>
        <v>13.33333333</v>
      </c>
      <c r="Q25" s="19">
        <f t="shared" si="24"/>
        <v>100</v>
      </c>
      <c r="R25" s="12">
        <f t="shared" si="25"/>
        <v>0</v>
      </c>
      <c r="S25" s="198">
        <f t="shared" si="11"/>
        <v>-0.8666666667</v>
      </c>
      <c r="T25" s="65">
        <v>1787.0</v>
      </c>
      <c r="U25" s="3"/>
      <c r="V25" s="3"/>
      <c r="W25" s="3"/>
      <c r="X25" s="3"/>
      <c r="Y25" s="3"/>
      <c r="Z25" s="3"/>
    </row>
    <row r="26">
      <c r="A26" s="5" t="s">
        <v>136</v>
      </c>
      <c r="B26" s="197">
        <v>0.0</v>
      </c>
      <c r="C26" s="21">
        <f t="shared" si="20"/>
        <v>0</v>
      </c>
      <c r="D26" s="243"/>
      <c r="E26" s="11" t="str">
        <f t="shared" si="21"/>
        <v>#DIV/0!</v>
      </c>
      <c r="F26" s="12" t="str">
        <f t="shared" si="22"/>
        <v>#DIV/0!</v>
      </c>
      <c r="G26" s="23"/>
      <c r="H26" s="8">
        <v>0.0</v>
      </c>
      <c r="I26" s="8">
        <v>0.0</v>
      </c>
      <c r="J26" s="14">
        <f t="shared" si="15"/>
        <v>0</v>
      </c>
      <c r="K26" s="8">
        <v>0.0</v>
      </c>
      <c r="L26" s="15">
        <f t="shared" si="5"/>
        <v>0</v>
      </c>
      <c r="M26" s="16">
        <f t="shared" si="6"/>
        <v>0</v>
      </c>
      <c r="N26" s="13"/>
      <c r="O26" s="17">
        <f t="shared" si="7"/>
        <v>0</v>
      </c>
      <c r="P26" s="18" t="str">
        <f t="shared" si="23"/>
        <v>#DIV/0!</v>
      </c>
      <c r="Q26" s="19" t="str">
        <f t="shared" si="24"/>
        <v>#DIV/0!</v>
      </c>
      <c r="R26" s="12" t="str">
        <f t="shared" si="25"/>
        <v>#DIV/0!</v>
      </c>
      <c r="S26" s="198" t="str">
        <f t="shared" si="11"/>
        <v>#DIV/0!</v>
      </c>
      <c r="T26" s="65">
        <v>619.0</v>
      </c>
      <c r="U26" s="3"/>
      <c r="V26" s="3"/>
      <c r="W26" s="3"/>
      <c r="X26" s="3"/>
      <c r="Y26" s="3"/>
      <c r="Z26" s="3"/>
    </row>
    <row r="27">
      <c r="A27" s="5" t="s">
        <v>137</v>
      </c>
      <c r="B27" s="197">
        <v>36478.75</v>
      </c>
      <c r="C27" s="21">
        <f t="shared" si="20"/>
        <v>15375</v>
      </c>
      <c r="D27" s="243"/>
      <c r="E27" s="11">
        <f t="shared" si="21"/>
        <v>0</v>
      </c>
      <c r="F27" s="12">
        <f t="shared" si="22"/>
        <v>0</v>
      </c>
      <c r="G27" s="23"/>
      <c r="H27" s="8">
        <v>36.0</v>
      </c>
      <c r="I27" s="8">
        <v>35.0</v>
      </c>
      <c r="J27" s="14">
        <f t="shared" si="15"/>
        <v>12120</v>
      </c>
      <c r="K27" s="8">
        <v>30.0</v>
      </c>
      <c r="L27" s="15">
        <f t="shared" si="5"/>
        <v>3255</v>
      </c>
      <c r="M27" s="16">
        <f t="shared" si="6"/>
        <v>1</v>
      </c>
      <c r="N27" s="8">
        <v>4.0</v>
      </c>
      <c r="O27" s="17">
        <f t="shared" si="7"/>
        <v>2.857142857</v>
      </c>
      <c r="P27" s="18">
        <f t="shared" si="23"/>
        <v>97.22222222</v>
      </c>
      <c r="Q27" s="19">
        <f t="shared" si="24"/>
        <v>85.71428571</v>
      </c>
      <c r="R27" s="12">
        <f t="shared" si="25"/>
        <v>0</v>
      </c>
      <c r="S27" s="198">
        <f t="shared" si="11"/>
        <v>-0.02777777778</v>
      </c>
      <c r="T27" s="65">
        <v>404.0</v>
      </c>
      <c r="U27" s="3"/>
      <c r="V27" s="3"/>
      <c r="W27" s="3"/>
      <c r="X27" s="3"/>
      <c r="Y27" s="3"/>
      <c r="Z27" s="3"/>
    </row>
    <row r="28">
      <c r="A28" s="5" t="s">
        <v>138</v>
      </c>
      <c r="B28" s="197">
        <v>0.0</v>
      </c>
      <c r="C28" s="21">
        <f t="shared" si="20"/>
        <v>0</v>
      </c>
      <c r="D28" s="243"/>
      <c r="E28" s="11" t="str">
        <f t="shared" si="21"/>
        <v>#DIV/0!</v>
      </c>
      <c r="F28" s="12" t="str">
        <f t="shared" si="22"/>
        <v>#DIV/0!</v>
      </c>
      <c r="G28" s="23"/>
      <c r="H28" s="8">
        <v>0.0</v>
      </c>
      <c r="I28" s="8">
        <v>0.0</v>
      </c>
      <c r="J28" s="14">
        <f t="shared" si="15"/>
        <v>0</v>
      </c>
      <c r="K28" s="8">
        <v>0.0</v>
      </c>
      <c r="L28" s="15">
        <f t="shared" si="5"/>
        <v>0</v>
      </c>
      <c r="M28" s="16">
        <f t="shared" si="6"/>
        <v>0</v>
      </c>
      <c r="N28" s="13"/>
      <c r="O28" s="17">
        <f t="shared" si="7"/>
        <v>0</v>
      </c>
      <c r="P28" s="18" t="str">
        <f t="shared" si="23"/>
        <v>#DIV/0!</v>
      </c>
      <c r="Q28" s="19" t="str">
        <f t="shared" si="24"/>
        <v>#DIV/0!</v>
      </c>
      <c r="R28" s="12" t="str">
        <f t="shared" si="25"/>
        <v>#DIV/0!</v>
      </c>
      <c r="S28" s="198" t="str">
        <f t="shared" si="11"/>
        <v>#DIV/0!</v>
      </c>
      <c r="T28" s="65">
        <v>655.0</v>
      </c>
      <c r="U28" s="3"/>
      <c r="V28" s="3"/>
      <c r="W28" s="3"/>
      <c r="X28" s="3"/>
      <c r="Y28" s="3"/>
      <c r="Z28" s="3"/>
    </row>
    <row r="29">
      <c r="A29" s="5" t="s">
        <v>35</v>
      </c>
      <c r="B29" s="197">
        <v>20022.39</v>
      </c>
      <c r="C29" s="21">
        <f t="shared" si="20"/>
        <v>7236</v>
      </c>
      <c r="D29" s="243"/>
      <c r="E29" s="11">
        <f t="shared" si="21"/>
        <v>0</v>
      </c>
      <c r="F29" s="12">
        <f t="shared" si="22"/>
        <v>0</v>
      </c>
      <c r="G29" s="23"/>
      <c r="H29" s="8">
        <v>14.0</v>
      </c>
      <c r="I29" s="8">
        <v>12.0</v>
      </c>
      <c r="J29" s="14">
        <f t="shared" si="15"/>
        <v>6120</v>
      </c>
      <c r="K29" s="8">
        <v>10.0</v>
      </c>
      <c r="L29" s="15">
        <f t="shared" si="5"/>
        <v>1116</v>
      </c>
      <c r="M29" s="16">
        <f t="shared" si="6"/>
        <v>2</v>
      </c>
      <c r="N29" s="13"/>
      <c r="O29" s="17">
        <f t="shared" si="7"/>
        <v>16.66666667</v>
      </c>
      <c r="P29" s="18">
        <f t="shared" si="23"/>
        <v>85.71428571</v>
      </c>
      <c r="Q29" s="19">
        <f t="shared" si="24"/>
        <v>83.33333333</v>
      </c>
      <c r="R29" s="12">
        <f t="shared" si="25"/>
        <v>0</v>
      </c>
      <c r="S29" s="198">
        <f t="shared" si="11"/>
        <v>-0.1428571429</v>
      </c>
      <c r="T29" s="65">
        <v>612.0</v>
      </c>
      <c r="U29" s="3"/>
      <c r="V29" s="3"/>
      <c r="W29" s="3"/>
      <c r="X29" s="3"/>
      <c r="Y29" s="3"/>
      <c r="Z29" s="3"/>
    </row>
    <row r="30">
      <c r="A30" s="5" t="s">
        <v>139</v>
      </c>
      <c r="B30" s="197">
        <v>0.0</v>
      </c>
      <c r="C30" s="21">
        <f t="shared" si="20"/>
        <v>0</v>
      </c>
      <c r="D30" s="243"/>
      <c r="E30" s="11" t="str">
        <f t="shared" si="21"/>
        <v>#DIV/0!</v>
      </c>
      <c r="F30" s="12" t="str">
        <f t="shared" si="22"/>
        <v>#DIV/0!</v>
      </c>
      <c r="G30" s="23"/>
      <c r="H30" s="8">
        <v>0.0</v>
      </c>
      <c r="I30" s="8">
        <v>0.0</v>
      </c>
      <c r="J30" s="14">
        <f t="shared" si="15"/>
        <v>0</v>
      </c>
      <c r="K30" s="8">
        <v>0.0</v>
      </c>
      <c r="L30" s="15">
        <f t="shared" si="5"/>
        <v>0</v>
      </c>
      <c r="M30" s="16">
        <f t="shared" si="6"/>
        <v>0</v>
      </c>
      <c r="N30" s="13"/>
      <c r="O30" s="17">
        <f t="shared" si="7"/>
        <v>0</v>
      </c>
      <c r="P30" s="18" t="str">
        <f t="shared" si="23"/>
        <v>#DIV/0!</v>
      </c>
      <c r="Q30" s="19" t="str">
        <f t="shared" si="24"/>
        <v>#DIV/0!</v>
      </c>
      <c r="R30" s="12" t="str">
        <f t="shared" si="25"/>
        <v>#DIV/0!</v>
      </c>
      <c r="S30" s="198" t="str">
        <f t="shared" si="11"/>
        <v>#DIV/0!</v>
      </c>
      <c r="T30" s="65">
        <v>743.0</v>
      </c>
      <c r="U30" s="3"/>
      <c r="V30" s="3"/>
      <c r="W30" s="3"/>
      <c r="X30" s="3"/>
      <c r="Y30" s="3"/>
      <c r="Z30" s="3"/>
    </row>
    <row r="31">
      <c r="A31" s="5" t="s">
        <v>140</v>
      </c>
      <c r="B31" s="197">
        <v>0.0</v>
      </c>
      <c r="C31" s="21">
        <f t="shared" si="20"/>
        <v>0</v>
      </c>
      <c r="D31" s="243"/>
      <c r="E31" s="11" t="str">
        <f t="shared" si="21"/>
        <v>#DIV/0!</v>
      </c>
      <c r="F31" s="12" t="str">
        <f t="shared" si="22"/>
        <v>#DIV/0!</v>
      </c>
      <c r="G31" s="23"/>
      <c r="H31" s="8">
        <v>0.0</v>
      </c>
      <c r="I31" s="8">
        <v>0.0</v>
      </c>
      <c r="J31" s="14">
        <f t="shared" si="15"/>
        <v>0</v>
      </c>
      <c r="K31" s="8">
        <v>0.0</v>
      </c>
      <c r="L31" s="15">
        <f t="shared" si="5"/>
        <v>0</v>
      </c>
      <c r="M31" s="16">
        <f t="shared" si="6"/>
        <v>0</v>
      </c>
      <c r="N31" s="13"/>
      <c r="O31" s="17">
        <f t="shared" si="7"/>
        <v>0</v>
      </c>
      <c r="P31" s="18" t="str">
        <f t="shared" si="23"/>
        <v>#DIV/0!</v>
      </c>
      <c r="Q31" s="19" t="str">
        <f t="shared" si="24"/>
        <v>#DIV/0!</v>
      </c>
      <c r="R31" s="12" t="str">
        <f t="shared" si="25"/>
        <v>#DIV/0!</v>
      </c>
      <c r="S31" s="198" t="str">
        <f t="shared" si="11"/>
        <v>#DIV/0!</v>
      </c>
      <c r="T31" s="65">
        <v>739.0</v>
      </c>
      <c r="U31" s="3"/>
      <c r="V31" s="3"/>
      <c r="W31" s="3"/>
      <c r="X31" s="3"/>
      <c r="Y31" s="3"/>
      <c r="Z31" s="3"/>
    </row>
    <row r="32">
      <c r="A32" s="5" t="s">
        <v>141</v>
      </c>
      <c r="B32" s="197">
        <v>51802.92</v>
      </c>
      <c r="C32" s="21">
        <f t="shared" si="20"/>
        <v>16752</v>
      </c>
      <c r="D32" s="243"/>
      <c r="E32" s="11">
        <f t="shared" si="21"/>
        <v>0</v>
      </c>
      <c r="F32" s="12">
        <f t="shared" si="22"/>
        <v>0</v>
      </c>
      <c r="G32" s="23"/>
      <c r="H32" s="8">
        <v>30.0</v>
      </c>
      <c r="I32" s="8">
        <v>28.0</v>
      </c>
      <c r="J32" s="14">
        <f t="shared" si="15"/>
        <v>14148</v>
      </c>
      <c r="K32" s="8">
        <v>27.0</v>
      </c>
      <c r="L32" s="15">
        <f t="shared" si="5"/>
        <v>2604</v>
      </c>
      <c r="M32" s="16">
        <f t="shared" si="6"/>
        <v>1</v>
      </c>
      <c r="N32" s="13"/>
      <c r="O32" s="17">
        <f t="shared" si="7"/>
        <v>3.571428571</v>
      </c>
      <c r="P32" s="18">
        <f t="shared" si="23"/>
        <v>93.33333333</v>
      </c>
      <c r="Q32" s="19">
        <f t="shared" si="24"/>
        <v>96.42857143</v>
      </c>
      <c r="R32" s="12">
        <f t="shared" si="25"/>
        <v>0</v>
      </c>
      <c r="S32" s="198">
        <f t="shared" si="11"/>
        <v>-0.06666666667</v>
      </c>
      <c r="T32" s="65">
        <v>524.0</v>
      </c>
      <c r="U32" s="3"/>
      <c r="V32" s="3"/>
      <c r="W32" s="3"/>
      <c r="X32" s="3"/>
      <c r="Y32" s="3"/>
      <c r="Z32" s="3"/>
    </row>
    <row r="33">
      <c r="A33" s="5" t="s">
        <v>36</v>
      </c>
      <c r="B33" s="197">
        <v>1899.0</v>
      </c>
      <c r="C33" s="21">
        <f t="shared" si="20"/>
        <v>678</v>
      </c>
      <c r="D33" s="243"/>
      <c r="E33" s="11">
        <f t="shared" si="21"/>
        <v>0</v>
      </c>
      <c r="F33" s="12">
        <f t="shared" si="22"/>
        <v>0</v>
      </c>
      <c r="G33" s="23"/>
      <c r="H33" s="8">
        <v>2.0</v>
      </c>
      <c r="I33" s="8">
        <v>2.0</v>
      </c>
      <c r="J33" s="14">
        <f t="shared" si="15"/>
        <v>492</v>
      </c>
      <c r="K33" s="8">
        <v>1.0</v>
      </c>
      <c r="L33" s="15">
        <f t="shared" si="5"/>
        <v>186</v>
      </c>
      <c r="M33" s="16">
        <f t="shared" si="6"/>
        <v>0</v>
      </c>
      <c r="N33" s="8">
        <v>1.0</v>
      </c>
      <c r="O33" s="17">
        <f t="shared" si="7"/>
        <v>0</v>
      </c>
      <c r="P33" s="18">
        <f t="shared" si="23"/>
        <v>100</v>
      </c>
      <c r="Q33" s="19">
        <f t="shared" si="24"/>
        <v>50</v>
      </c>
      <c r="R33" s="12">
        <f t="shared" si="25"/>
        <v>0</v>
      </c>
      <c r="S33" s="198">
        <f t="shared" si="11"/>
        <v>0</v>
      </c>
      <c r="T33" s="65">
        <v>492.0</v>
      </c>
      <c r="U33" s="3"/>
      <c r="V33" s="3"/>
      <c r="W33" s="3"/>
      <c r="X33" s="3"/>
      <c r="Y33" s="3"/>
      <c r="Z33" s="3"/>
    </row>
    <row r="34">
      <c r="A34" s="199" t="s">
        <v>142</v>
      </c>
      <c r="B34" s="197">
        <v>10039.47</v>
      </c>
      <c r="C34" s="21">
        <f t="shared" si="20"/>
        <v>4160</v>
      </c>
      <c r="D34" s="243"/>
      <c r="E34" s="11">
        <f t="shared" si="21"/>
        <v>0</v>
      </c>
      <c r="F34" s="12">
        <f t="shared" si="22"/>
        <v>0</v>
      </c>
      <c r="G34" s="23"/>
      <c r="H34" s="197">
        <v>8.0</v>
      </c>
      <c r="I34" s="197">
        <v>8.0</v>
      </c>
      <c r="J34" s="200">
        <f t="shared" si="15"/>
        <v>3416</v>
      </c>
      <c r="K34" s="197">
        <v>7.0</v>
      </c>
      <c r="L34" s="201">
        <f t="shared" si="5"/>
        <v>744</v>
      </c>
      <c r="M34" s="202">
        <f t="shared" si="6"/>
        <v>1</v>
      </c>
      <c r="N34" s="23"/>
      <c r="O34" s="17">
        <f t="shared" si="7"/>
        <v>12.5</v>
      </c>
      <c r="P34" s="18">
        <f t="shared" si="23"/>
        <v>100</v>
      </c>
      <c r="Q34" s="19">
        <f t="shared" si="24"/>
        <v>87.5</v>
      </c>
      <c r="R34" s="12">
        <f t="shared" si="25"/>
        <v>0</v>
      </c>
      <c r="S34" s="198">
        <f t="shared" si="11"/>
        <v>0</v>
      </c>
      <c r="T34" s="183">
        <v>488.0</v>
      </c>
      <c r="U34" s="37"/>
      <c r="V34" s="37"/>
      <c r="W34" s="37"/>
      <c r="X34" s="37"/>
      <c r="Y34" s="37"/>
      <c r="Z34" s="37"/>
    </row>
    <row r="35">
      <c r="A35" s="24" t="s">
        <v>38</v>
      </c>
      <c r="B35" s="179">
        <f>sum(B4:B34)+600000</f>
        <v>8617401.49</v>
      </c>
      <c r="C35" s="28"/>
      <c r="D35" s="25">
        <f>SUM(D4:D34)</f>
        <v>0</v>
      </c>
      <c r="E35" s="26"/>
      <c r="F35" s="26"/>
      <c r="G35" s="158">
        <v>5116490.0</v>
      </c>
      <c r="H35" s="25">
        <f t="shared" ref="H35:I35" si="26">SUM(H4:H34)</f>
        <v>10311</v>
      </c>
      <c r="I35" s="25">
        <f t="shared" si="26"/>
        <v>9976</v>
      </c>
      <c r="J35" s="25">
        <f>SUM(J4:J34)+22800</f>
        <v>3053091</v>
      </c>
      <c r="K35" s="25">
        <f t="shared" ref="K35:N35" si="27">SUM(K4:K34)</f>
        <v>8310</v>
      </c>
      <c r="L35" s="25">
        <f t="shared" si="27"/>
        <v>927768</v>
      </c>
      <c r="M35" s="25">
        <f t="shared" si="27"/>
        <v>892</v>
      </c>
      <c r="N35" s="25">
        <f t="shared" si="27"/>
        <v>774</v>
      </c>
      <c r="O35" s="198">
        <f>M35/K35</f>
        <v>0.1073405535</v>
      </c>
      <c r="P35" s="203">
        <f>I35/H35</f>
        <v>0.9675104258</v>
      </c>
      <c r="Q35" s="203">
        <f>K35/H35</f>
        <v>0.8059354088</v>
      </c>
      <c r="R35" s="29" t="str">
        <f>SUM(R4:R34)</f>
        <v>#DIV/0!</v>
      </c>
      <c r="S35" s="198"/>
      <c r="T35" s="28"/>
      <c r="U35" s="3"/>
      <c r="V35" s="3"/>
      <c r="W35" s="156"/>
      <c r="X35" s="3"/>
      <c r="Y35" s="3"/>
      <c r="Z35" s="3"/>
    </row>
    <row r="36">
      <c r="A36" s="3"/>
      <c r="B36" s="37"/>
      <c r="C36" s="3"/>
      <c r="D36" s="3"/>
      <c r="E36" s="3"/>
      <c r="F36" s="3"/>
      <c r="G36" s="3"/>
      <c r="H36" s="3"/>
      <c r="I36" s="3"/>
      <c r="J36" s="35"/>
      <c r="K36" s="204"/>
      <c r="L36" s="3"/>
      <c r="M36" s="205"/>
      <c r="N36" s="3"/>
      <c r="O36" s="3"/>
      <c r="P36" s="3"/>
      <c r="Q36" s="3"/>
      <c r="R36" s="3"/>
      <c r="S36" s="3"/>
      <c r="T36" s="3"/>
      <c r="U36" s="3"/>
      <c r="V36" s="3"/>
      <c r="W36" s="156"/>
      <c r="X36" s="3"/>
      <c r="Y36" s="3"/>
      <c r="Z36" s="3"/>
    </row>
    <row r="37">
      <c r="A37" s="3"/>
      <c r="B37" s="37"/>
      <c r="C37" s="3"/>
      <c r="D37" s="3"/>
      <c r="E37" s="37"/>
      <c r="F37" s="3"/>
      <c r="G37" s="37"/>
      <c r="H37" s="3"/>
      <c r="I37" s="3"/>
      <c r="J37" s="205"/>
      <c r="K37" s="204"/>
      <c r="L37" s="3"/>
      <c r="M37" s="3"/>
      <c r="N37" s="41"/>
      <c r="O37" s="61"/>
      <c r="P37" s="3"/>
      <c r="Q37" s="3"/>
      <c r="R37" s="3"/>
      <c r="S37" s="3"/>
      <c r="T37" s="3"/>
      <c r="U37" s="3"/>
      <c r="V37" s="3"/>
      <c r="W37" s="156"/>
      <c r="X37" s="3"/>
      <c r="Y37" s="3"/>
      <c r="Z37" s="3"/>
    </row>
    <row r="38">
      <c r="A38" s="3"/>
      <c r="B38" s="37"/>
      <c r="C38" s="3"/>
      <c r="D38" s="30" t="s">
        <v>39</v>
      </c>
      <c r="E38" s="37"/>
      <c r="F38" s="35"/>
      <c r="G38" s="3"/>
      <c r="H38" s="157"/>
      <c r="I38" s="157"/>
      <c r="J38" s="160"/>
      <c r="K38" s="161"/>
      <c r="L38" s="206"/>
      <c r="M38" s="3"/>
      <c r="N38" s="3"/>
      <c r="O38" s="3"/>
      <c r="P38" s="3"/>
      <c r="Q38" s="3"/>
      <c r="R38" s="3"/>
      <c r="S38" s="3"/>
      <c r="T38" s="3"/>
      <c r="U38" s="3"/>
      <c r="V38" s="3"/>
      <c r="W38" s="156"/>
      <c r="X38" s="3"/>
      <c r="Y38" s="3"/>
      <c r="Z38" s="3"/>
    </row>
    <row r="39">
      <c r="A39" s="31" t="s">
        <v>116</v>
      </c>
      <c r="B39" s="36">
        <f>K35</f>
        <v>8310</v>
      </c>
      <c r="C39" s="35"/>
      <c r="D39" s="69"/>
      <c r="E39" s="162"/>
      <c r="F39" s="35"/>
      <c r="G39" s="3"/>
      <c r="H39" s="157"/>
      <c r="I39" s="157"/>
      <c r="J39" s="163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3"/>
      <c r="Y39" s="3"/>
      <c r="Z39" s="3"/>
    </row>
    <row r="40">
      <c r="A40" s="31" t="s">
        <v>40</v>
      </c>
      <c r="B40" s="36">
        <f>B35</f>
        <v>8617401.49</v>
      </c>
      <c r="C40" s="35"/>
      <c r="D40" s="33" t="s">
        <v>41</v>
      </c>
      <c r="E40" s="34">
        <f>B41/B39</f>
        <v>367.399639</v>
      </c>
      <c r="F40" s="35"/>
      <c r="G40" s="204"/>
      <c r="H40" s="161"/>
      <c r="I40" s="157"/>
      <c r="J40" s="160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3"/>
      <c r="Y40" s="3"/>
      <c r="Z40" s="3"/>
    </row>
    <row r="41">
      <c r="A41" s="31" t="s">
        <v>41</v>
      </c>
      <c r="B41" s="36">
        <f>J35</f>
        <v>3053091</v>
      </c>
      <c r="C41" s="35"/>
      <c r="D41" s="33" t="s">
        <v>42</v>
      </c>
      <c r="E41" s="34">
        <f>G35/B39</f>
        <v>615.7027677</v>
      </c>
      <c r="F41" s="3">
        <f>E41/E43*100</f>
        <v>59.37393083</v>
      </c>
      <c r="G41" s="204"/>
      <c r="H41" s="161"/>
      <c r="I41" s="157"/>
      <c r="J41" s="160"/>
      <c r="K41" s="161"/>
      <c r="L41" s="206"/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3"/>
      <c r="Y41" s="3"/>
      <c r="Z41" s="3"/>
    </row>
    <row r="42">
      <c r="A42" s="31" t="s">
        <v>43</v>
      </c>
      <c r="B42" s="36">
        <f>L35</f>
        <v>927768</v>
      </c>
      <c r="C42" s="35"/>
      <c r="D42" s="33" t="s">
        <v>43</v>
      </c>
      <c r="E42" s="34">
        <f>B42/B39</f>
        <v>111.6447653</v>
      </c>
      <c r="F42" s="3"/>
      <c r="G42" s="204"/>
      <c r="H42" s="161"/>
      <c r="I42" s="157"/>
      <c r="J42" s="160"/>
      <c r="K42" s="161"/>
      <c r="L42" s="206"/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3"/>
      <c r="Y42" s="3"/>
      <c r="Z42" s="3"/>
    </row>
    <row r="43">
      <c r="A43" s="31" t="s">
        <v>44</v>
      </c>
      <c r="B43" s="36">
        <f>G35</f>
        <v>5116490</v>
      </c>
      <c r="C43" s="35"/>
      <c r="D43" s="33" t="s">
        <v>45</v>
      </c>
      <c r="E43" s="34">
        <f>B40/B39</f>
        <v>1036.991756</v>
      </c>
      <c r="F43" s="3"/>
      <c r="G43" s="205"/>
      <c r="H43" s="157"/>
      <c r="I43" s="157"/>
      <c r="J43" s="157"/>
      <c r="K43" s="157"/>
      <c r="L43" s="20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1" t="s">
        <v>46</v>
      </c>
      <c r="B44" s="36">
        <f>B40-(B41+B42+B43)</f>
        <v>-479947.51</v>
      </c>
      <c r="C44" s="37"/>
      <c r="D44" s="3"/>
      <c r="E44" s="3"/>
      <c r="F44" s="3"/>
      <c r="G44" s="3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1" t="s">
        <v>47</v>
      </c>
      <c r="B45" s="36">
        <f>B44/B40</f>
        <v>-0.0556951548</v>
      </c>
      <c r="C45" s="3"/>
      <c r="D45" s="3"/>
      <c r="E45" s="3"/>
      <c r="F45" s="3"/>
      <c r="G45" s="3"/>
      <c r="H45" s="157"/>
      <c r="I45" s="157"/>
      <c r="J45" s="157"/>
      <c r="K45" s="157"/>
      <c r="L45" s="15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276"/>
      <c r="B46" s="277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</row>
    <row r="47">
      <c r="A47" s="276"/>
      <c r="B47" s="277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>
      <c r="A48" s="278"/>
      <c r="B48" s="27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>
      <c r="A49" s="1" t="s">
        <v>171</v>
      </c>
      <c r="B49" s="2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8" t="s">
        <v>49</v>
      </c>
      <c r="B51" s="24" t="s">
        <v>3</v>
      </c>
      <c r="C51" s="24" t="s">
        <v>4</v>
      </c>
      <c r="D51" s="24" t="s">
        <v>5</v>
      </c>
      <c r="E51" s="39" t="s">
        <v>6</v>
      </c>
      <c r="F51" s="24" t="s">
        <v>7</v>
      </c>
      <c r="G51" s="24" t="s">
        <v>9</v>
      </c>
      <c r="H51" s="24" t="s">
        <v>11</v>
      </c>
      <c r="I51" s="24" t="s">
        <v>12</v>
      </c>
      <c r="J51" s="24" t="s">
        <v>50</v>
      </c>
      <c r="K51" s="24" t="s">
        <v>51</v>
      </c>
      <c r="L51" s="39" t="s">
        <v>16</v>
      </c>
      <c r="M51" s="24" t="s">
        <v>52</v>
      </c>
      <c r="N51" s="40" t="s">
        <v>53</v>
      </c>
      <c r="O51" s="3"/>
    </row>
    <row r="52">
      <c r="A52" s="24" t="s">
        <v>21</v>
      </c>
      <c r="B52" s="245">
        <f>1089387.77+2588.22+2499</f>
        <v>1094474.99</v>
      </c>
      <c r="C52" s="213">
        <f t="shared" ref="C52:C68" si="28">K52+H52+M52</f>
        <v>626105.32</v>
      </c>
      <c r="D52" s="214">
        <f t="shared" ref="D52:D68" si="29">B52-C52</f>
        <v>468369.67</v>
      </c>
      <c r="E52" s="215">
        <f t="shared" ref="E52:E68" si="30">D52/B52*100</f>
        <v>42.79400391</v>
      </c>
      <c r="F52" s="216">
        <f t="shared" ref="F52:F68" si="31">D52/I52</f>
        <v>336.9565971</v>
      </c>
      <c r="G52" s="217">
        <f>1501+3+1</f>
        <v>1505</v>
      </c>
      <c r="H52" s="218">
        <f>220*I52</f>
        <v>305800</v>
      </c>
      <c r="I52" s="219">
        <f>1386+3+1</f>
        <v>1390</v>
      </c>
      <c r="J52" s="218">
        <f t="shared" ref="J52:J68" si="32">G52-I52</f>
        <v>115</v>
      </c>
      <c r="K52" s="246">
        <f>(318476.23+405.16+387.39)-(136413.88)</f>
        <v>182854.9</v>
      </c>
      <c r="L52" s="50">
        <f>J52/I52*100</f>
        <v>8.273381295</v>
      </c>
      <c r="M52" s="280">
        <v>137450.42</v>
      </c>
      <c r="N52" s="52">
        <f>J52*999</f>
        <v>114885</v>
      </c>
      <c r="O52" s="53">
        <f t="shared" ref="O52:O68" si="33">B52/M52</f>
        <v>7.96268931</v>
      </c>
      <c r="P52" s="54" t="str">
        <f t="shared" ref="P52:P67" si="34">B52/#REF!*100</f>
        <v>#REF!</v>
      </c>
    </row>
    <row r="53">
      <c r="A53" s="24" t="s">
        <v>23</v>
      </c>
      <c r="B53" s="247">
        <f>4343.55+1134566.44</f>
        <v>1138909.99</v>
      </c>
      <c r="C53" s="213">
        <f t="shared" si="28"/>
        <v>645457.72</v>
      </c>
      <c r="D53" s="214">
        <f t="shared" si="29"/>
        <v>493452.27</v>
      </c>
      <c r="E53" s="215">
        <f t="shared" si="30"/>
        <v>43.32671364</v>
      </c>
      <c r="F53" s="216">
        <f t="shared" si="31"/>
        <v>370.4596622</v>
      </c>
      <c r="G53" s="217">
        <f>3+1453</f>
        <v>1456</v>
      </c>
      <c r="H53" s="218">
        <f>304*I53</f>
        <v>404928</v>
      </c>
      <c r="I53" s="219">
        <f>3+1329</f>
        <v>1332</v>
      </c>
      <c r="J53" s="218">
        <f t="shared" si="32"/>
        <v>124</v>
      </c>
      <c r="K53" s="246">
        <f>(721.58+196393.86)-(38031.25)</f>
        <v>159084.19</v>
      </c>
      <c r="L53" s="50">
        <f t="shared" ref="L53:L68" si="35">J53/G53*100</f>
        <v>8.516483516</v>
      </c>
      <c r="M53" s="280">
        <v>81445.53</v>
      </c>
      <c r="N53" s="52">
        <f>J53*1119</f>
        <v>138756</v>
      </c>
      <c r="O53" s="53">
        <f t="shared" si="33"/>
        <v>13.98370162</v>
      </c>
      <c r="P53" s="54" t="str">
        <f t="shared" si="34"/>
        <v>#REF!</v>
      </c>
    </row>
    <row r="54">
      <c r="A54" s="24" t="s">
        <v>25</v>
      </c>
      <c r="B54" s="245">
        <f>73395.26+1993.24</f>
        <v>75388.5</v>
      </c>
      <c r="C54" s="213">
        <f t="shared" si="28"/>
        <v>66726.57</v>
      </c>
      <c r="D54" s="214">
        <f t="shared" si="29"/>
        <v>8661.93</v>
      </c>
      <c r="E54" s="215">
        <f t="shared" si="30"/>
        <v>11.48972323</v>
      </c>
      <c r="F54" s="216">
        <f t="shared" si="31"/>
        <v>139.7085484</v>
      </c>
      <c r="G54" s="217">
        <f>61+1</f>
        <v>62</v>
      </c>
      <c r="H54" s="218">
        <f> 662*I54</f>
        <v>41044</v>
      </c>
      <c r="I54" s="219">
        <f>61+1</f>
        <v>62</v>
      </c>
      <c r="J54" s="218">
        <f t="shared" si="32"/>
        <v>0</v>
      </c>
      <c r="K54" s="246">
        <f>(13189.55+1906.47)-1588.19 </f>
        <v>13507.83</v>
      </c>
      <c r="L54" s="50">
        <f t="shared" si="35"/>
        <v>0</v>
      </c>
      <c r="M54" s="281">
        <v>12174.74</v>
      </c>
      <c r="N54" s="52">
        <f>J54*1799</f>
        <v>0</v>
      </c>
      <c r="O54" s="53">
        <f t="shared" si="33"/>
        <v>6.192206158</v>
      </c>
      <c r="P54" s="54" t="str">
        <f t="shared" si="34"/>
        <v>#REF!</v>
      </c>
    </row>
    <row r="55">
      <c r="A55" s="24" t="s">
        <v>26</v>
      </c>
      <c r="B55" s="245">
        <f>290251.93</f>
        <v>290251.93</v>
      </c>
      <c r="C55" s="213">
        <f t="shared" si="28"/>
        <v>209885.81</v>
      </c>
      <c r="D55" s="214">
        <f t="shared" si="29"/>
        <v>80366.12</v>
      </c>
      <c r="E55" s="215">
        <f t="shared" si="30"/>
        <v>27.68840159</v>
      </c>
      <c r="F55" s="216">
        <f t="shared" si="31"/>
        <v>118.8847929</v>
      </c>
      <c r="G55" s="217">
        <f>707</f>
        <v>707</v>
      </c>
      <c r="H55" s="218">
        <f>184*I55</f>
        <v>124384</v>
      </c>
      <c r="I55" s="219">
        <f>676</f>
        <v>676</v>
      </c>
      <c r="J55" s="218">
        <f t="shared" si="32"/>
        <v>31</v>
      </c>
      <c r="K55" s="246">
        <f>(74956.84)-(29595.12)</f>
        <v>45361.72</v>
      </c>
      <c r="L55" s="50">
        <f t="shared" si="35"/>
        <v>4.384724187</v>
      </c>
      <c r="M55" s="280">
        <v>40140.09</v>
      </c>
      <c r="N55" s="52">
        <f>J55*499</f>
        <v>15469</v>
      </c>
      <c r="O55" s="53">
        <f t="shared" si="33"/>
        <v>7.230973573</v>
      </c>
      <c r="P55" s="54" t="str">
        <f t="shared" si="34"/>
        <v>#REF!</v>
      </c>
    </row>
    <row r="56">
      <c r="A56" s="24" t="s">
        <v>29</v>
      </c>
      <c r="B56" s="245">
        <f>598036.91+4340.1</f>
        <v>602377.01</v>
      </c>
      <c r="C56" s="213">
        <f t="shared" si="28"/>
        <v>469566.19</v>
      </c>
      <c r="D56" s="214">
        <f t="shared" si="29"/>
        <v>132810.82</v>
      </c>
      <c r="E56" s="215">
        <f t="shared" si="30"/>
        <v>22.0477903</v>
      </c>
      <c r="F56" s="216">
        <f t="shared" si="31"/>
        <v>171.5902067</v>
      </c>
      <c r="G56" s="217">
        <f>851+3</f>
        <v>854</v>
      </c>
      <c r="H56" s="218">
        <f>308*I56</f>
        <v>238392</v>
      </c>
      <c r="I56" s="219">
        <f>771+3</f>
        <v>774</v>
      </c>
      <c r="J56" s="218">
        <f t="shared" si="32"/>
        <v>80</v>
      </c>
      <c r="K56" s="246">
        <f>(203239.64+694.59)-(113209.61+16)</f>
        <v>90708.62</v>
      </c>
      <c r="L56" s="50">
        <f t="shared" si="35"/>
        <v>9.367681499</v>
      </c>
      <c r="M56" s="280">
        <v>140465.57</v>
      </c>
      <c r="N56" s="52">
        <f>J56*1249</f>
        <v>99920</v>
      </c>
      <c r="O56" s="53">
        <f t="shared" si="33"/>
        <v>4.288431749</v>
      </c>
      <c r="P56" s="54" t="str">
        <f t="shared" si="34"/>
        <v>#REF!</v>
      </c>
    </row>
    <row r="57">
      <c r="A57" s="24" t="s">
        <v>31</v>
      </c>
      <c r="B57" s="245">
        <f>76648.19</f>
        <v>76648.19</v>
      </c>
      <c r="C57" s="213">
        <f t="shared" si="28"/>
        <v>90273.76</v>
      </c>
      <c r="D57" s="214">
        <f t="shared" si="29"/>
        <v>-13625.57</v>
      </c>
      <c r="E57" s="215">
        <f t="shared" si="30"/>
        <v>-17.77676681</v>
      </c>
      <c r="F57" s="216">
        <f t="shared" si="31"/>
        <v>-176.9554545</v>
      </c>
      <c r="G57" s="217">
        <f>80</f>
        <v>80</v>
      </c>
      <c r="H57" s="218">
        <f>435*I57</f>
        <v>33495</v>
      </c>
      <c r="I57" s="219">
        <f>77</f>
        <v>77</v>
      </c>
      <c r="J57" s="218">
        <f t="shared" si="32"/>
        <v>3</v>
      </c>
      <c r="K57" s="246">
        <f>46295.28-31939.1 </f>
        <v>14356.18</v>
      </c>
      <c r="L57" s="50">
        <f t="shared" si="35"/>
        <v>3.75</v>
      </c>
      <c r="M57" s="280">
        <v>42422.58</v>
      </c>
      <c r="N57" s="52">
        <f>J57*1349</f>
        <v>4047</v>
      </c>
      <c r="O57" s="53">
        <f t="shared" si="33"/>
        <v>1.806778136</v>
      </c>
      <c r="P57" s="54" t="str">
        <f t="shared" si="34"/>
        <v>#REF!</v>
      </c>
    </row>
    <row r="58">
      <c r="A58" s="24" t="s">
        <v>33</v>
      </c>
      <c r="B58" s="245">
        <f>34650.4+357175.09</f>
        <v>391825.49</v>
      </c>
      <c r="C58" s="213">
        <f t="shared" si="28"/>
        <v>287618.99</v>
      </c>
      <c r="D58" s="214">
        <f t="shared" si="29"/>
        <v>104206.5</v>
      </c>
      <c r="E58" s="215">
        <f t="shared" si="30"/>
        <v>26.5951304</v>
      </c>
      <c r="F58" s="216">
        <f t="shared" si="31"/>
        <v>425.3326531</v>
      </c>
      <c r="G58" s="217">
        <f>21+259</f>
        <v>280</v>
      </c>
      <c r="H58" s="218">
        <f>778*I58</f>
        <v>190610</v>
      </c>
      <c r="I58" s="219">
        <f>19+226</f>
        <v>245</v>
      </c>
      <c r="J58" s="218">
        <f t="shared" si="32"/>
        <v>35</v>
      </c>
      <c r="K58" s="246">
        <f>(15189.56+72740.99)-(9384.36+11404.89)</f>
        <v>67141.3</v>
      </c>
      <c r="L58" s="50">
        <f t="shared" si="35"/>
        <v>12.5</v>
      </c>
      <c r="M58" s="280">
        <v>29867.69</v>
      </c>
      <c r="N58" s="52">
        <f>J58*1999</f>
        <v>69965</v>
      </c>
      <c r="O58" s="53">
        <f t="shared" si="33"/>
        <v>13.11870754</v>
      </c>
      <c r="P58" s="54" t="str">
        <f t="shared" si="34"/>
        <v>#REF!</v>
      </c>
    </row>
    <row r="59">
      <c r="A59" s="24" t="s">
        <v>131</v>
      </c>
      <c r="B59" s="245">
        <f>37142.1</f>
        <v>37142.1</v>
      </c>
      <c r="C59" s="213">
        <f t="shared" si="28"/>
        <v>33559.94</v>
      </c>
      <c r="D59" s="214">
        <f t="shared" si="29"/>
        <v>3582.16</v>
      </c>
      <c r="E59" s="215">
        <f t="shared" si="30"/>
        <v>9.644473522</v>
      </c>
      <c r="F59" s="216">
        <f t="shared" si="31"/>
        <v>223.885</v>
      </c>
      <c r="G59" s="217">
        <f>17</f>
        <v>17</v>
      </c>
      <c r="H59" s="218">
        <f>(900)*I59</f>
        <v>14400</v>
      </c>
      <c r="I59" s="219">
        <f>16</f>
        <v>16</v>
      </c>
      <c r="J59" s="218">
        <f t="shared" si="32"/>
        <v>1</v>
      </c>
      <c r="K59" s="246">
        <f>(12886.36)-(7209.97) </f>
        <v>5676.39</v>
      </c>
      <c r="L59" s="50">
        <f t="shared" si="35"/>
        <v>5.882352941</v>
      </c>
      <c r="M59" s="281">
        <v>13483.55</v>
      </c>
      <c r="N59" s="52">
        <f>J59*999</f>
        <v>999</v>
      </c>
      <c r="O59" s="53">
        <f t="shared" si="33"/>
        <v>2.754623226</v>
      </c>
      <c r="P59" s="54" t="str">
        <f t="shared" si="34"/>
        <v>#REF!</v>
      </c>
    </row>
    <row r="60">
      <c r="A60" s="24" t="s">
        <v>54</v>
      </c>
      <c r="B60" s="245">
        <f>5388</f>
        <v>5388</v>
      </c>
      <c r="C60" s="213">
        <f t="shared" si="28"/>
        <v>4188.5</v>
      </c>
      <c r="D60" s="214">
        <f t="shared" si="29"/>
        <v>1199.5</v>
      </c>
      <c r="E60" s="215">
        <f t="shared" si="30"/>
        <v>22.26243504</v>
      </c>
      <c r="F60" s="216">
        <f t="shared" si="31"/>
        <v>92.26923077</v>
      </c>
      <c r="G60" s="217">
        <f>13</f>
        <v>13</v>
      </c>
      <c r="H60" s="218">
        <f>200*I60</f>
        <v>2600</v>
      </c>
      <c r="I60" s="219">
        <f>13</f>
        <v>13</v>
      </c>
      <c r="J60" s="218">
        <f t="shared" si="32"/>
        <v>0</v>
      </c>
      <c r="K60" s="246">
        <f>1260.25-409.3</f>
        <v>850.95</v>
      </c>
      <c r="L60" s="50">
        <f t="shared" si="35"/>
        <v>0</v>
      </c>
      <c r="M60" s="281">
        <v>737.55</v>
      </c>
      <c r="N60" s="52">
        <f>J60*599</f>
        <v>0</v>
      </c>
      <c r="O60" s="53">
        <f t="shared" si="33"/>
        <v>7.305267439</v>
      </c>
      <c r="P60" s="54" t="str">
        <f t="shared" si="34"/>
        <v>#REF!</v>
      </c>
    </row>
    <row r="61">
      <c r="A61" s="24" t="s">
        <v>55</v>
      </c>
      <c r="B61" s="248"/>
      <c r="C61" s="213">
        <f t="shared" si="28"/>
        <v>0</v>
      </c>
      <c r="D61" s="214">
        <f t="shared" si="29"/>
        <v>0</v>
      </c>
      <c r="E61" s="215" t="str">
        <f t="shared" si="30"/>
        <v>#DIV/0!</v>
      </c>
      <c r="F61" s="216" t="str">
        <f t="shared" si="31"/>
        <v>#DIV/0!</v>
      </c>
      <c r="G61" s="249"/>
      <c r="H61" s="218">
        <f>(270+220)*I61</f>
        <v>0</v>
      </c>
      <c r="I61" s="250"/>
      <c r="J61" s="218">
        <f t="shared" si="32"/>
        <v>0</v>
      </c>
      <c r="K61" s="251"/>
      <c r="L61" s="50" t="str">
        <f t="shared" si="35"/>
        <v>#DIV/0!</v>
      </c>
      <c r="M61" s="186"/>
      <c r="N61" s="56"/>
      <c r="O61" s="53" t="str">
        <f t="shared" si="33"/>
        <v>#DIV/0!</v>
      </c>
      <c r="P61" s="54" t="str">
        <f t="shared" si="34"/>
        <v>#REF!</v>
      </c>
    </row>
    <row r="62">
      <c r="A62" s="24" t="s">
        <v>56</v>
      </c>
      <c r="B62" s="245">
        <f>5993.86</f>
        <v>5993.86</v>
      </c>
      <c r="C62" s="213">
        <f t="shared" si="28"/>
        <v>2625.89</v>
      </c>
      <c r="D62" s="214">
        <f t="shared" si="29"/>
        <v>3367.97</v>
      </c>
      <c r="E62" s="215">
        <f t="shared" si="30"/>
        <v>56.19033478</v>
      </c>
      <c r="F62" s="216">
        <f t="shared" si="31"/>
        <v>1122.656667</v>
      </c>
      <c r="G62" s="217">
        <v>3.0</v>
      </c>
      <c r="H62" s="218">
        <f>(220+304)*I62</f>
        <v>1572</v>
      </c>
      <c r="I62" s="219">
        <v>3.0</v>
      </c>
      <c r="J62" s="218">
        <f t="shared" si="32"/>
        <v>0</v>
      </c>
      <c r="K62" s="246">
        <f>1053.89 </f>
        <v>1053.89</v>
      </c>
      <c r="L62" s="50">
        <f t="shared" si="35"/>
        <v>0</v>
      </c>
      <c r="M62" s="28"/>
      <c r="N62" s="52">
        <f>J62*2199</f>
        <v>0</v>
      </c>
      <c r="O62" s="53" t="str">
        <f t="shared" si="33"/>
        <v>#DIV/0!</v>
      </c>
      <c r="P62" s="54" t="str">
        <f t="shared" si="34"/>
        <v>#REF!</v>
      </c>
    </row>
    <row r="63">
      <c r="A63" s="24" t="s">
        <v>57</v>
      </c>
      <c r="B63" s="245"/>
      <c r="C63" s="213">
        <f t="shared" si="28"/>
        <v>0</v>
      </c>
      <c r="D63" s="214">
        <f t="shared" si="29"/>
        <v>0</v>
      </c>
      <c r="E63" s="215" t="str">
        <f t="shared" si="30"/>
        <v>#DIV/0!</v>
      </c>
      <c r="F63" s="216" t="str">
        <f t="shared" si="31"/>
        <v>#DIV/0!</v>
      </c>
      <c r="G63" s="217"/>
      <c r="H63" s="218">
        <f>(220+308)*I63</f>
        <v>0</v>
      </c>
      <c r="I63" s="219"/>
      <c r="J63" s="218">
        <f t="shared" si="32"/>
        <v>0</v>
      </c>
      <c r="K63" s="246"/>
      <c r="L63" s="50" t="str">
        <f t="shared" si="35"/>
        <v>#DIV/0!</v>
      </c>
      <c r="M63" s="28"/>
      <c r="N63" s="52">
        <f>J63*999</f>
        <v>0</v>
      </c>
      <c r="O63" s="53" t="str">
        <f t="shared" si="33"/>
        <v>#DIV/0!</v>
      </c>
      <c r="P63" s="54" t="str">
        <f t="shared" si="34"/>
        <v>#REF!</v>
      </c>
    </row>
    <row r="64">
      <c r="A64" s="24" t="s">
        <v>58</v>
      </c>
      <c r="B64" s="245">
        <f>20904</f>
        <v>20904</v>
      </c>
      <c r="C64" s="213">
        <f t="shared" si="28"/>
        <v>13244.22</v>
      </c>
      <c r="D64" s="214">
        <f t="shared" si="29"/>
        <v>7659.78</v>
      </c>
      <c r="E64" s="215">
        <f t="shared" si="30"/>
        <v>36.64265212</v>
      </c>
      <c r="F64" s="216">
        <f t="shared" si="31"/>
        <v>425.5433333</v>
      </c>
      <c r="G64" s="217">
        <f>20</f>
        <v>20</v>
      </c>
      <c r="H64" s="218">
        <f>(304+184)*I64</f>
        <v>8784</v>
      </c>
      <c r="I64" s="219">
        <f>18</f>
        <v>18</v>
      </c>
      <c r="J64" s="218">
        <f t="shared" si="32"/>
        <v>2</v>
      </c>
      <c r="K64" s="246">
        <f>4448.04 </f>
        <v>4448.04</v>
      </c>
      <c r="L64" s="50">
        <f t="shared" si="35"/>
        <v>10</v>
      </c>
      <c r="M64" s="282">
        <v>12.18</v>
      </c>
      <c r="N64" s="52">
        <f>J64*1499</f>
        <v>2998</v>
      </c>
      <c r="O64" s="53">
        <f t="shared" si="33"/>
        <v>1716.256158</v>
      </c>
      <c r="P64" s="54" t="str">
        <f t="shared" si="34"/>
        <v>#REF!</v>
      </c>
    </row>
    <row r="65">
      <c r="A65" s="24" t="s">
        <v>59</v>
      </c>
      <c r="B65" s="245">
        <f>6288.29</f>
        <v>6288.29</v>
      </c>
      <c r="C65" s="213">
        <f t="shared" si="28"/>
        <v>2894.37</v>
      </c>
      <c r="D65" s="214">
        <f t="shared" si="29"/>
        <v>3393.92</v>
      </c>
      <c r="E65" s="215">
        <f t="shared" si="30"/>
        <v>53.97206554</v>
      </c>
      <c r="F65" s="216">
        <f t="shared" si="31"/>
        <v>1131.306667</v>
      </c>
      <c r="G65" s="217">
        <f>3</f>
        <v>3</v>
      </c>
      <c r="H65" s="218">
        <f>(304+308)*I65</f>
        <v>1836</v>
      </c>
      <c r="I65" s="219">
        <f>3</f>
        <v>3</v>
      </c>
      <c r="J65" s="218">
        <f t="shared" si="32"/>
        <v>0</v>
      </c>
      <c r="K65" s="246">
        <f>1037.64 </f>
        <v>1037.64</v>
      </c>
      <c r="L65" s="50">
        <f t="shared" si="35"/>
        <v>0</v>
      </c>
      <c r="M65" s="283">
        <v>20.73</v>
      </c>
      <c r="N65" s="52">
        <f t="shared" ref="N65:N68" si="36">J65*999</f>
        <v>0</v>
      </c>
      <c r="O65" s="53">
        <f t="shared" si="33"/>
        <v>303.3424988</v>
      </c>
      <c r="P65" s="54" t="str">
        <f t="shared" si="34"/>
        <v>#REF!</v>
      </c>
    </row>
    <row r="66">
      <c r="A66" s="24" t="s">
        <v>161</v>
      </c>
      <c r="B66" s="245"/>
      <c r="C66" s="213">
        <f t="shared" si="28"/>
        <v>0</v>
      </c>
      <c r="D66" s="214">
        <f t="shared" si="29"/>
        <v>0</v>
      </c>
      <c r="E66" s="215" t="str">
        <f t="shared" si="30"/>
        <v>#DIV/0!</v>
      </c>
      <c r="F66" s="216" t="str">
        <f t="shared" si="31"/>
        <v>#DIV/0!</v>
      </c>
      <c r="G66" s="217"/>
      <c r="H66" s="218">
        <f>(1900)*I66</f>
        <v>0</v>
      </c>
      <c r="I66" s="219"/>
      <c r="J66" s="218">
        <f t="shared" si="32"/>
        <v>0</v>
      </c>
      <c r="K66" s="246"/>
      <c r="L66" s="50" t="str">
        <f t="shared" si="35"/>
        <v>#DIV/0!</v>
      </c>
      <c r="M66" s="186"/>
      <c r="N66" s="52">
        <f t="shared" si="36"/>
        <v>0</v>
      </c>
      <c r="O66" s="53" t="str">
        <f t="shared" si="33"/>
        <v>#DIV/0!</v>
      </c>
      <c r="P66" s="54" t="str">
        <f t="shared" si="34"/>
        <v>#REF!</v>
      </c>
    </row>
    <row r="67">
      <c r="A67" s="24" t="s">
        <v>149</v>
      </c>
      <c r="B67" s="245">
        <f>147323.76+71324.17+1799</f>
        <v>220446.93</v>
      </c>
      <c r="C67" s="213">
        <f t="shared" si="28"/>
        <v>139492.64</v>
      </c>
      <c r="D67" s="214">
        <f t="shared" si="29"/>
        <v>80954.29</v>
      </c>
      <c r="E67" s="215">
        <f t="shared" si="30"/>
        <v>36.72280217</v>
      </c>
      <c r="F67" s="216">
        <f t="shared" si="31"/>
        <v>299.8307037</v>
      </c>
      <c r="G67" s="217">
        <f>188+91+1</f>
        <v>280</v>
      </c>
      <c r="H67" s="218">
        <f t="shared" ref="H67:H68" si="37">(330)*I67</f>
        <v>89100</v>
      </c>
      <c r="I67" s="219">
        <f>180+89+1</f>
        <v>270</v>
      </c>
      <c r="J67" s="218">
        <f t="shared" si="32"/>
        <v>10</v>
      </c>
      <c r="K67" s="246">
        <f>(27601.78+20297.39+271.89 )-(6170.44+9800.19)</f>
        <v>32200.43</v>
      </c>
      <c r="L67" s="50">
        <f t="shared" si="35"/>
        <v>3.571428571</v>
      </c>
      <c r="M67" s="281">
        <v>18192.21</v>
      </c>
      <c r="N67" s="52">
        <f t="shared" si="36"/>
        <v>9990</v>
      </c>
      <c r="O67" s="53">
        <f t="shared" si="33"/>
        <v>12.1176553</v>
      </c>
      <c r="P67" s="54" t="str">
        <f t="shared" si="34"/>
        <v>#REF!</v>
      </c>
    </row>
    <row r="68">
      <c r="A68" s="24" t="s">
        <v>157</v>
      </c>
      <c r="B68" s="245">
        <f>49627.64</f>
        <v>49627.64</v>
      </c>
      <c r="C68" s="213">
        <f t="shared" si="28"/>
        <v>83530.83</v>
      </c>
      <c r="D68" s="214">
        <f t="shared" si="29"/>
        <v>-33903.19</v>
      </c>
      <c r="E68" s="215">
        <f t="shared" si="30"/>
        <v>-68.31513648</v>
      </c>
      <c r="F68" s="216">
        <f t="shared" si="31"/>
        <v>-484.3312857</v>
      </c>
      <c r="G68" s="217">
        <f>72</f>
        <v>72</v>
      </c>
      <c r="H68" s="218">
        <f t="shared" si="37"/>
        <v>23100</v>
      </c>
      <c r="I68" s="219">
        <f>70</f>
        <v>70</v>
      </c>
      <c r="J68" s="218">
        <f t="shared" si="32"/>
        <v>2</v>
      </c>
      <c r="K68" s="246">
        <f>60478.47-53420.48 </f>
        <v>7057.99</v>
      </c>
      <c r="L68" s="50">
        <f t="shared" si="35"/>
        <v>2.777777778</v>
      </c>
      <c r="M68" s="281">
        <v>53372.84</v>
      </c>
      <c r="N68" s="52">
        <f t="shared" si="36"/>
        <v>1998</v>
      </c>
      <c r="O68" s="53">
        <f t="shared" si="33"/>
        <v>0.9298294788</v>
      </c>
      <c r="P68" s="54"/>
    </row>
    <row r="69" ht="14.25" customHeight="1">
      <c r="A69" s="3" t="s">
        <v>38</v>
      </c>
      <c r="B69" s="68">
        <f t="shared" ref="B69:D69" si="38">SUM(B52:B68)</f>
        <v>4015666.92</v>
      </c>
      <c r="C69" s="68">
        <f t="shared" si="38"/>
        <v>2675170.75</v>
      </c>
      <c r="D69" s="53">
        <f t="shared" si="38"/>
        <v>1340496.17</v>
      </c>
      <c r="E69" s="252"/>
      <c r="F69" s="252"/>
      <c r="G69" s="41">
        <f t="shared" ref="G69:I69" si="39">SUM(G52:G68)</f>
        <v>5352</v>
      </c>
      <c r="H69" s="41">
        <f t="shared" si="39"/>
        <v>1480045</v>
      </c>
      <c r="I69" s="41">
        <f t="shared" si="39"/>
        <v>4949</v>
      </c>
      <c r="J69" s="3"/>
      <c r="K69" s="68">
        <v>585340.0700000001</v>
      </c>
      <c r="L69" s="252"/>
      <c r="M69" s="68">
        <f>SUM(M52:M68)</f>
        <v>569785.68</v>
      </c>
      <c r="N69" s="3"/>
      <c r="O69" s="54"/>
    </row>
    <row r="72">
      <c r="A72" s="115" t="s">
        <v>40</v>
      </c>
      <c r="B72" s="116">
        <f>B69</f>
        <v>4015666.92</v>
      </c>
      <c r="C72" s="3"/>
      <c r="D72" s="3"/>
      <c r="E72" s="3"/>
      <c r="F72" s="3"/>
    </row>
    <row r="73">
      <c r="A73" s="117" t="s">
        <v>41</v>
      </c>
      <c r="B73" s="118">
        <f>H69</f>
        <v>1480045</v>
      </c>
      <c r="C73" s="3"/>
      <c r="D73" s="30" t="s">
        <v>39</v>
      </c>
      <c r="E73" s="3"/>
      <c r="F73" s="3"/>
    </row>
    <row r="74">
      <c r="A74" s="119" t="s">
        <v>143</v>
      </c>
      <c r="B74" s="120">
        <v>337890.0</v>
      </c>
      <c r="C74" s="3"/>
      <c r="D74" s="33" t="s">
        <v>41</v>
      </c>
      <c r="E74" s="34">
        <f>B73/I69</f>
        <v>299.0594059</v>
      </c>
      <c r="F74" s="59"/>
      <c r="I74" s="60">
        <f>B75/I69</f>
        <v>50</v>
      </c>
    </row>
    <row r="75">
      <c r="A75" s="119" t="s">
        <v>61</v>
      </c>
      <c r="B75" s="120">
        <v>247450.0</v>
      </c>
      <c r="C75" s="3"/>
      <c r="D75" s="33"/>
      <c r="E75" s="34"/>
      <c r="F75" s="59"/>
      <c r="G75" s="58"/>
    </row>
    <row r="76">
      <c r="A76" s="121" t="s">
        <v>44</v>
      </c>
      <c r="B76" s="122">
        <f>M69</f>
        <v>569785.68</v>
      </c>
      <c r="C76" s="3"/>
      <c r="D76" s="33" t="s">
        <v>42</v>
      </c>
      <c r="E76" s="34">
        <f>B76/I69</f>
        <v>115.1314771</v>
      </c>
      <c r="F76" s="59"/>
    </row>
    <row r="77">
      <c r="A77" s="123" t="s">
        <v>62</v>
      </c>
      <c r="B77" s="124">
        <f>B72-SUM(B73:B76)</f>
        <v>1380496.24</v>
      </c>
      <c r="C77" s="3"/>
      <c r="D77" s="33" t="s">
        <v>63</v>
      </c>
      <c r="E77" s="34">
        <f>B74/I69</f>
        <v>68.27439887</v>
      </c>
      <c r="F77" s="61"/>
    </row>
    <row r="78">
      <c r="A78" s="125" t="s">
        <v>47</v>
      </c>
      <c r="B78" s="126">
        <f>B77/B72*100</f>
        <v>34.37775761</v>
      </c>
      <c r="C78" s="3"/>
      <c r="D78" s="33" t="s">
        <v>45</v>
      </c>
      <c r="E78" s="34">
        <f>B72/I69</f>
        <v>811.4097636</v>
      </c>
      <c r="F78" s="3"/>
    </row>
    <row r="85">
      <c r="A85" s="1" t="s">
        <v>171</v>
      </c>
      <c r="B85" s="194" t="s">
        <v>64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3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8" t="s">
        <v>49</v>
      </c>
      <c r="B87" s="176" t="s">
        <v>3</v>
      </c>
      <c r="C87" s="24" t="s">
        <v>4</v>
      </c>
      <c r="D87" s="24" t="s">
        <v>5</v>
      </c>
      <c r="E87" s="39" t="s">
        <v>6</v>
      </c>
      <c r="F87" s="24" t="s">
        <v>7</v>
      </c>
      <c r="G87" s="24" t="s">
        <v>9</v>
      </c>
      <c r="H87" s="24" t="s">
        <v>11</v>
      </c>
      <c r="I87" s="24" t="s">
        <v>12</v>
      </c>
      <c r="J87" s="24" t="s">
        <v>50</v>
      </c>
      <c r="K87" s="24" t="s">
        <v>65</v>
      </c>
      <c r="L87" s="39" t="s">
        <v>16</v>
      </c>
      <c r="M87" s="24" t="s">
        <v>52</v>
      </c>
      <c r="N87" s="3"/>
    </row>
    <row r="88">
      <c r="A88" s="42" t="s">
        <v>21</v>
      </c>
      <c r="B88" s="243">
        <f>14454
</f>
        <v>14454</v>
      </c>
      <c r="C88" s="44">
        <f t="shared" ref="C88:C96" si="40">K88+H88</f>
        <v>7335</v>
      </c>
      <c r="D88" s="45">
        <f t="shared" ref="D88:D101" si="41">B88-C88</f>
        <v>7119</v>
      </c>
      <c r="E88" s="11">
        <f t="shared" ref="E88:E101" si="42">D88/B88*100</f>
        <v>49.25280199</v>
      </c>
      <c r="F88" s="46">
        <f t="shared" ref="F88:F101" si="43">D88/I88</f>
        <v>374.6842105</v>
      </c>
      <c r="G88" s="284">
        <f>31
</f>
        <v>31</v>
      </c>
      <c r="H88" s="14">
        <f>220*I88</f>
        <v>4180</v>
      </c>
      <c r="I88" s="254">
        <f>19
</f>
        <v>19</v>
      </c>
      <c r="J88" s="14">
        <f t="shared" ref="J88:J101" si="44">G88-I88</f>
        <v>12</v>
      </c>
      <c r="K88" s="255">
        <f>3155</f>
        <v>3155</v>
      </c>
      <c r="L88" s="50">
        <f t="shared" ref="L88:L101" si="45">J88/G88*100</f>
        <v>38.70967742</v>
      </c>
      <c r="M88" s="28">
        <f>318+115</f>
        <v>433</v>
      </c>
      <c r="N88" s="3"/>
      <c r="P88" s="54"/>
    </row>
    <row r="89">
      <c r="A89" s="42" t="s">
        <v>23</v>
      </c>
      <c r="B89" s="243">
        <f>67129</f>
        <v>67129</v>
      </c>
      <c r="C89" s="44">
        <f t="shared" si="40"/>
        <v>34452</v>
      </c>
      <c r="D89" s="45">
        <f t="shared" si="41"/>
        <v>32677</v>
      </c>
      <c r="E89" s="11">
        <f t="shared" si="42"/>
        <v>48.67791863</v>
      </c>
      <c r="F89" s="46">
        <f t="shared" si="43"/>
        <v>403.4197531</v>
      </c>
      <c r="G89" s="253">
        <v>112.0</v>
      </c>
      <c r="H89" s="14">
        <f>304*I89</f>
        <v>24624</v>
      </c>
      <c r="I89" s="254">
        <v>81.0</v>
      </c>
      <c r="J89" s="14">
        <f t="shared" si="44"/>
        <v>31</v>
      </c>
      <c r="K89" s="255">
        <v>9828.0</v>
      </c>
      <c r="L89" s="50">
        <f t="shared" si="45"/>
        <v>27.67857143</v>
      </c>
      <c r="M89" s="28">
        <f>2273</f>
        <v>2273</v>
      </c>
      <c r="N89" s="3"/>
      <c r="P89" s="54"/>
    </row>
    <row r="90">
      <c r="A90" s="42" t="s">
        <v>25</v>
      </c>
      <c r="B90" s="243">
        <f>7688
</f>
        <v>7688</v>
      </c>
      <c r="C90" s="44">
        <f t="shared" si="40"/>
        <v>4866</v>
      </c>
      <c r="D90" s="45">
        <f t="shared" si="41"/>
        <v>2822</v>
      </c>
      <c r="E90" s="11">
        <f t="shared" si="42"/>
        <v>36.70655567</v>
      </c>
      <c r="F90" s="46">
        <f t="shared" si="43"/>
        <v>470.3333333</v>
      </c>
      <c r="G90" s="253">
        <v>10.0</v>
      </c>
      <c r="H90" s="14">
        <f> 662*I90</f>
        <v>3972</v>
      </c>
      <c r="I90" s="254">
        <v>6.0</v>
      </c>
      <c r="J90" s="14">
        <f t="shared" si="44"/>
        <v>4</v>
      </c>
      <c r="K90" s="255">
        <v>894.0</v>
      </c>
      <c r="L90" s="50">
        <f t="shared" si="45"/>
        <v>40</v>
      </c>
      <c r="M90" s="60">
        <f>252</f>
        <v>252</v>
      </c>
      <c r="N90" s="3"/>
      <c r="P90" s="54"/>
    </row>
    <row r="91">
      <c r="A91" s="42" t="s">
        <v>26</v>
      </c>
      <c r="B91" s="243">
        <f>47933+1464</f>
        <v>49397</v>
      </c>
      <c r="C91" s="44">
        <f t="shared" si="40"/>
        <v>35041</v>
      </c>
      <c r="D91" s="45">
        <f t="shared" si="41"/>
        <v>14356</v>
      </c>
      <c r="E91" s="11">
        <f t="shared" si="42"/>
        <v>29.06249367</v>
      </c>
      <c r="F91" s="46">
        <f t="shared" si="43"/>
        <v>113.0393701</v>
      </c>
      <c r="G91" s="253">
        <f>194+2</f>
        <v>196</v>
      </c>
      <c r="H91" s="14">
        <f>184*I91</f>
        <v>23368</v>
      </c>
      <c r="I91" s="254">
        <f>126+1</f>
        <v>127</v>
      </c>
      <c r="J91" s="14">
        <f t="shared" si="44"/>
        <v>69</v>
      </c>
      <c r="K91" s="255">
        <v>11673.0</v>
      </c>
      <c r="L91" s="50">
        <f t="shared" si="45"/>
        <v>35.20408163</v>
      </c>
      <c r="M91" s="28">
        <f>4201+164</f>
        <v>4365</v>
      </c>
      <c r="N91" s="3"/>
      <c r="P91" s="54"/>
    </row>
    <row r="92">
      <c r="A92" s="42" t="s">
        <v>54</v>
      </c>
      <c r="B92" s="243">
        <f>2160
</f>
        <v>2160</v>
      </c>
      <c r="C92" s="44">
        <f t="shared" si="40"/>
        <v>2184</v>
      </c>
      <c r="D92" s="45">
        <f t="shared" si="41"/>
        <v>-24</v>
      </c>
      <c r="E92" s="11">
        <f t="shared" si="42"/>
        <v>-1.111111111</v>
      </c>
      <c r="F92" s="46">
        <f t="shared" si="43"/>
        <v>-4.8</v>
      </c>
      <c r="G92" s="253">
        <f>9</f>
        <v>9</v>
      </c>
      <c r="H92" s="14">
        <f>270*I92</f>
        <v>1350</v>
      </c>
      <c r="I92" s="254">
        <f>5</f>
        <v>5</v>
      </c>
      <c r="J92" s="14">
        <f t="shared" si="44"/>
        <v>4</v>
      </c>
      <c r="K92" s="255">
        <f>834</f>
        <v>834</v>
      </c>
      <c r="L92" s="50">
        <f t="shared" si="45"/>
        <v>44.44444444</v>
      </c>
      <c r="M92" s="28">
        <f>1093</f>
        <v>1093</v>
      </c>
      <c r="N92" s="3"/>
      <c r="P92" s="54"/>
    </row>
    <row r="93">
      <c r="A93" s="42" t="s">
        <v>29</v>
      </c>
      <c r="B93" s="243">
        <f>22370</f>
        <v>22370</v>
      </c>
      <c r="C93" s="44">
        <f t="shared" si="40"/>
        <v>11155</v>
      </c>
      <c r="D93" s="45">
        <f t="shared" si="41"/>
        <v>11215</v>
      </c>
      <c r="E93" s="11">
        <f t="shared" si="42"/>
        <v>50.13410818</v>
      </c>
      <c r="F93" s="46">
        <f t="shared" si="43"/>
        <v>487.6086957</v>
      </c>
      <c r="G93" s="253">
        <f>38</f>
        <v>38</v>
      </c>
      <c r="H93" s="14">
        <f>308*I93</f>
        <v>7084</v>
      </c>
      <c r="I93" s="254">
        <f>23</f>
        <v>23</v>
      </c>
      <c r="J93" s="14">
        <f t="shared" si="44"/>
        <v>15</v>
      </c>
      <c r="K93" s="255">
        <v>4071.0</v>
      </c>
      <c r="L93" s="50">
        <f t="shared" si="45"/>
        <v>39.47368421</v>
      </c>
      <c r="M93" s="28">
        <f>191</f>
        <v>191</v>
      </c>
      <c r="N93" s="3"/>
      <c r="P93" s="54"/>
    </row>
    <row r="94">
      <c r="A94" s="42" t="s">
        <v>31</v>
      </c>
      <c r="B94" s="243">
        <f>2955</f>
        <v>2955</v>
      </c>
      <c r="C94" s="44">
        <f t="shared" si="40"/>
        <v>1756</v>
      </c>
      <c r="D94" s="45">
        <f t="shared" si="41"/>
        <v>1199</v>
      </c>
      <c r="E94" s="11">
        <f t="shared" si="42"/>
        <v>40.57529611</v>
      </c>
      <c r="F94" s="46">
        <f t="shared" si="43"/>
        <v>399.6666667</v>
      </c>
      <c r="G94" s="253">
        <f>4</f>
        <v>4</v>
      </c>
      <c r="H94" s="14">
        <f>435*I94</f>
        <v>1305</v>
      </c>
      <c r="I94" s="254">
        <f>3</f>
        <v>3</v>
      </c>
      <c r="J94" s="14">
        <f t="shared" si="44"/>
        <v>1</v>
      </c>
      <c r="K94" s="255">
        <f>451</f>
        <v>451</v>
      </c>
      <c r="L94" s="50">
        <f t="shared" si="45"/>
        <v>25</v>
      </c>
      <c r="M94" s="28"/>
      <c r="N94" s="3"/>
      <c r="P94" s="54"/>
    </row>
    <row r="95">
      <c r="A95" s="42" t="s">
        <v>66</v>
      </c>
      <c r="B95" s="243">
        <f>496
</f>
        <v>496</v>
      </c>
      <c r="C95" s="44">
        <f t="shared" si="40"/>
        <v>237</v>
      </c>
      <c r="D95" s="45">
        <f t="shared" si="41"/>
        <v>259</v>
      </c>
      <c r="E95" s="11">
        <f t="shared" si="42"/>
        <v>52.21774194</v>
      </c>
      <c r="F95" s="46">
        <f t="shared" si="43"/>
        <v>259</v>
      </c>
      <c r="G95" s="253">
        <f>3</f>
        <v>3</v>
      </c>
      <c r="H95" s="14">
        <f>200*I95</f>
        <v>200</v>
      </c>
      <c r="I95" s="254">
        <f>1</f>
        <v>1</v>
      </c>
      <c r="J95" s="14">
        <f t="shared" si="44"/>
        <v>2</v>
      </c>
      <c r="K95" s="255">
        <f>37</f>
        <v>37</v>
      </c>
      <c r="L95" s="50">
        <f t="shared" si="45"/>
        <v>66.66666667</v>
      </c>
      <c r="M95" s="28"/>
      <c r="N95" s="3"/>
      <c r="P95" s="54"/>
    </row>
    <row r="96">
      <c r="A96" s="42" t="s">
        <v>33</v>
      </c>
      <c r="B96" s="243">
        <f>26604+1563</f>
        <v>28167</v>
      </c>
      <c r="C96" s="44">
        <f t="shared" si="40"/>
        <v>19934</v>
      </c>
      <c r="D96" s="45">
        <f t="shared" si="41"/>
        <v>8233</v>
      </c>
      <c r="E96" s="11">
        <f t="shared" si="42"/>
        <v>29.22923989</v>
      </c>
      <c r="F96" s="46">
        <f t="shared" si="43"/>
        <v>433.3157895</v>
      </c>
      <c r="G96" s="253">
        <f>35</f>
        <v>35</v>
      </c>
      <c r="H96" s="14">
        <f>778*I96</f>
        <v>14782</v>
      </c>
      <c r="I96" s="254">
        <f>19
</f>
        <v>19</v>
      </c>
      <c r="J96" s="14">
        <f t="shared" si="44"/>
        <v>16</v>
      </c>
      <c r="K96" s="255">
        <v>5152.0</v>
      </c>
      <c r="L96" s="50">
        <f t="shared" si="45"/>
        <v>45.71428571</v>
      </c>
      <c r="M96" s="28">
        <f>569</f>
        <v>569</v>
      </c>
      <c r="N96" s="3"/>
      <c r="P96" s="54"/>
      <c r="X96" s="3"/>
    </row>
    <row r="97">
      <c r="A97" s="24" t="s">
        <v>131</v>
      </c>
      <c r="B97" s="256">
        <f>6660</f>
        <v>6660</v>
      </c>
      <c r="C97" s="213">
        <f>K97+H97+M97</f>
        <v>3713</v>
      </c>
      <c r="D97" s="214">
        <f t="shared" si="41"/>
        <v>2947</v>
      </c>
      <c r="E97" s="215">
        <f t="shared" si="42"/>
        <v>44.24924925</v>
      </c>
      <c r="F97" s="216">
        <f t="shared" si="43"/>
        <v>589.4</v>
      </c>
      <c r="G97" s="249">
        <f>12</f>
        <v>12</v>
      </c>
      <c r="H97" s="218">
        <f>(330)*I97</f>
        <v>1650</v>
      </c>
      <c r="I97" s="250">
        <f>5</f>
        <v>5</v>
      </c>
      <c r="J97" s="218">
        <f t="shared" si="44"/>
        <v>7</v>
      </c>
      <c r="K97" s="257">
        <v>2063.0</v>
      </c>
      <c r="L97" s="50">
        <f t="shared" si="45"/>
        <v>58.33333333</v>
      </c>
      <c r="M97" s="186"/>
      <c r="N97" s="52">
        <f>J97*999</f>
        <v>6993</v>
      </c>
      <c r="O97" s="3"/>
    </row>
    <row r="98">
      <c r="A98" s="42" t="s">
        <v>158</v>
      </c>
      <c r="B98" s="243"/>
      <c r="C98" s="44">
        <f t="shared" ref="C98:C101" si="46">K98+H98</f>
        <v>0</v>
      </c>
      <c r="D98" s="45">
        <f t="shared" si="41"/>
        <v>0</v>
      </c>
      <c r="E98" s="11" t="str">
        <f t="shared" si="42"/>
        <v>#DIV/0!</v>
      </c>
      <c r="F98" s="46" t="str">
        <f t="shared" si="43"/>
        <v>#DIV/0!</v>
      </c>
      <c r="G98" s="253">
        <v>0.0</v>
      </c>
      <c r="H98" s="14">
        <f>(220+350)*I98</f>
        <v>0</v>
      </c>
      <c r="I98" s="254"/>
      <c r="J98" s="14">
        <f t="shared" si="44"/>
        <v>0</v>
      </c>
      <c r="K98" s="255"/>
      <c r="L98" s="50" t="str">
        <f t="shared" si="45"/>
        <v>#DIV/0!</v>
      </c>
      <c r="M98" s="28"/>
      <c r="N98" s="3"/>
      <c r="P98" s="54"/>
      <c r="X98" s="3"/>
    </row>
    <row r="99">
      <c r="A99" s="42" t="s">
        <v>55</v>
      </c>
      <c r="B99" s="243">
        <f>10152</f>
        <v>10152</v>
      </c>
      <c r="C99" s="44">
        <f t="shared" si="46"/>
        <v>5181</v>
      </c>
      <c r="D99" s="45">
        <f t="shared" si="41"/>
        <v>4971</v>
      </c>
      <c r="E99" s="11">
        <f t="shared" si="42"/>
        <v>48.96572104</v>
      </c>
      <c r="F99" s="46">
        <f t="shared" si="43"/>
        <v>552.3333333</v>
      </c>
      <c r="G99" s="253">
        <f>15</f>
        <v>15</v>
      </c>
      <c r="H99" s="14">
        <f>(220+184)*I99</f>
        <v>3636</v>
      </c>
      <c r="I99" s="254">
        <f>9</f>
        <v>9</v>
      </c>
      <c r="J99" s="14">
        <f t="shared" si="44"/>
        <v>6</v>
      </c>
      <c r="K99" s="255">
        <v>1545.0</v>
      </c>
      <c r="L99" s="50">
        <f t="shared" si="45"/>
        <v>40</v>
      </c>
      <c r="M99" s="28">
        <f>1322</f>
        <v>1322</v>
      </c>
      <c r="N99" s="3"/>
      <c r="P99" s="54"/>
      <c r="X99" s="3"/>
    </row>
    <row r="100">
      <c r="A100" s="42" t="s">
        <v>68</v>
      </c>
      <c r="B100" s="243">
        <f>23871</f>
        <v>23871</v>
      </c>
      <c r="C100" s="44">
        <f t="shared" si="46"/>
        <v>11810</v>
      </c>
      <c r="D100" s="45">
        <f t="shared" si="41"/>
        <v>12061</v>
      </c>
      <c r="E100" s="11">
        <f t="shared" si="42"/>
        <v>50.52574253</v>
      </c>
      <c r="F100" s="46">
        <f t="shared" si="43"/>
        <v>927.7692308</v>
      </c>
      <c r="G100" s="253">
        <v>20.0</v>
      </c>
      <c r="H100" s="14">
        <f>(304+308)*I100</f>
        <v>7956</v>
      </c>
      <c r="I100" s="254">
        <v>13.0</v>
      </c>
      <c r="J100" s="14">
        <f t="shared" si="44"/>
        <v>7</v>
      </c>
      <c r="K100" s="255">
        <v>3854.0</v>
      </c>
      <c r="L100" s="50">
        <f t="shared" si="45"/>
        <v>35</v>
      </c>
      <c r="M100" s="28">
        <f>850</f>
        <v>850</v>
      </c>
      <c r="N100" s="3"/>
      <c r="P100" s="54"/>
      <c r="U100" s="3"/>
      <c r="V100" s="3"/>
      <c r="W100" s="3"/>
      <c r="X100" s="3"/>
    </row>
    <row r="101">
      <c r="A101" s="42" t="s">
        <v>56</v>
      </c>
      <c r="B101" s="243">
        <f>21255
</f>
        <v>21255</v>
      </c>
      <c r="C101" s="44">
        <f t="shared" si="46"/>
        <v>9888</v>
      </c>
      <c r="D101" s="45">
        <f t="shared" si="41"/>
        <v>11367</v>
      </c>
      <c r="E101" s="11">
        <f t="shared" si="42"/>
        <v>53.47918137</v>
      </c>
      <c r="F101" s="46">
        <f t="shared" si="43"/>
        <v>874.3846154</v>
      </c>
      <c r="G101" s="253">
        <f>21</f>
        <v>21</v>
      </c>
      <c r="H101" s="14">
        <f>(220+304)*I101</f>
        <v>6812</v>
      </c>
      <c r="I101" s="254">
        <f>13</f>
        <v>13</v>
      </c>
      <c r="J101" s="14">
        <f t="shared" si="44"/>
        <v>8</v>
      </c>
      <c r="K101" s="255">
        <v>3076.0</v>
      </c>
      <c r="L101" s="50">
        <f t="shared" si="45"/>
        <v>38.0952381</v>
      </c>
      <c r="M101" s="28">
        <f>1753</f>
        <v>1753</v>
      </c>
      <c r="N101" s="3"/>
      <c r="P101" s="54"/>
      <c r="U101" s="3"/>
      <c r="V101" s="3"/>
      <c r="W101" s="3"/>
      <c r="X101" s="3"/>
    </row>
    <row r="102">
      <c r="A102" s="3"/>
      <c r="B102" s="57">
        <f t="shared" ref="B102:D102" si="47">SUM(B88:B101)</f>
        <v>256754</v>
      </c>
      <c r="C102" s="41">
        <f t="shared" si="47"/>
        <v>147552</v>
      </c>
      <c r="D102" s="53">
        <f t="shared" si="47"/>
        <v>109202</v>
      </c>
      <c r="E102" s="3"/>
      <c r="F102" s="3"/>
      <c r="G102" s="41">
        <f t="shared" ref="G102:K102" si="48">SUM(G88:G101)</f>
        <v>506</v>
      </c>
      <c r="H102" s="41">
        <f t="shared" si="48"/>
        <v>100919</v>
      </c>
      <c r="I102" s="41">
        <f t="shared" si="48"/>
        <v>324</v>
      </c>
      <c r="J102" s="41">
        <f t="shared" si="48"/>
        <v>182</v>
      </c>
      <c r="K102" s="41">
        <f t="shared" si="48"/>
        <v>46633</v>
      </c>
      <c r="L102" s="3"/>
      <c r="M102" s="258">
        <f>SUM(M89:M101)</f>
        <v>12668</v>
      </c>
      <c r="N102" s="3"/>
      <c r="P102" s="54"/>
      <c r="U102" s="3"/>
      <c r="V102" s="3"/>
      <c r="W102" s="3"/>
      <c r="X102" s="3"/>
    </row>
    <row r="103">
      <c r="P103" s="54"/>
      <c r="U103" s="3"/>
      <c r="V103" s="3"/>
      <c r="W103" s="3"/>
      <c r="X103" s="3"/>
    </row>
    <row r="104">
      <c r="P104" s="54"/>
      <c r="U104" s="3"/>
      <c r="V104" s="3"/>
      <c r="W104" s="3"/>
      <c r="X104" s="3"/>
    </row>
    <row r="105">
      <c r="A105" s="31" t="s">
        <v>40</v>
      </c>
      <c r="B105" s="36">
        <f>B102</f>
        <v>256754</v>
      </c>
      <c r="C105" s="3"/>
      <c r="D105" s="3"/>
      <c r="E105" s="3"/>
      <c r="U105" s="3"/>
      <c r="V105" s="3"/>
      <c r="W105" s="3"/>
    </row>
    <row r="106">
      <c r="A106" s="31" t="s">
        <v>41</v>
      </c>
      <c r="B106" s="36">
        <f>H102</f>
        <v>100919</v>
      </c>
      <c r="C106" s="3"/>
      <c r="D106" s="30"/>
      <c r="E106" s="3"/>
      <c r="L106" s="123" t="s">
        <v>40</v>
      </c>
      <c r="M106" s="285">
        <v>419537.0</v>
      </c>
      <c r="U106" s="3"/>
      <c r="V106" s="3"/>
      <c r="W106" s="3"/>
    </row>
    <row r="107">
      <c r="A107" s="31" t="s">
        <v>69</v>
      </c>
      <c r="B107" s="36">
        <f>K102</f>
        <v>46633</v>
      </c>
      <c r="C107" s="3"/>
      <c r="D107" s="33" t="s">
        <v>41</v>
      </c>
      <c r="E107" s="34">
        <f t="shared" ref="E107:E110" si="49">B106/$I$102</f>
        <v>311.4783951</v>
      </c>
      <c r="L107" s="286" t="s">
        <v>172</v>
      </c>
      <c r="M107" s="287">
        <v>459.0</v>
      </c>
      <c r="U107" s="3"/>
      <c r="V107" s="3"/>
      <c r="W107" s="3"/>
    </row>
    <row r="108">
      <c r="A108" s="31" t="s">
        <v>44</v>
      </c>
      <c r="B108" s="36">
        <f>M102</f>
        <v>12668</v>
      </c>
      <c r="C108" s="3"/>
      <c r="D108" s="33" t="s">
        <v>42</v>
      </c>
      <c r="E108" s="34">
        <f t="shared" si="49"/>
        <v>143.9290123</v>
      </c>
      <c r="L108" s="288" t="s">
        <v>45</v>
      </c>
      <c r="M108" s="289">
        <f>M106/M107</f>
        <v>914.0239651</v>
      </c>
    </row>
    <row r="109">
      <c r="A109" s="31" t="s">
        <v>62</v>
      </c>
      <c r="B109" s="36">
        <f>B105-SUM(B106:B108)</f>
        <v>96534</v>
      </c>
      <c r="C109" s="3"/>
      <c r="D109" s="33" t="s">
        <v>63</v>
      </c>
      <c r="E109" s="34">
        <f t="shared" si="49"/>
        <v>39.09876543</v>
      </c>
      <c r="L109" s="290" t="s">
        <v>173</v>
      </c>
      <c r="M109" s="291">
        <f>M102</f>
        <v>12668</v>
      </c>
    </row>
    <row r="110">
      <c r="A110" s="31" t="s">
        <v>47</v>
      </c>
      <c r="B110" s="62">
        <f>B109/B105*100</f>
        <v>37.59785631</v>
      </c>
      <c r="C110" s="3"/>
      <c r="D110" s="33" t="s">
        <v>45</v>
      </c>
      <c r="E110" s="34">
        <f t="shared" si="49"/>
        <v>297.9444444</v>
      </c>
      <c r="L110" s="292" t="s">
        <v>174</v>
      </c>
      <c r="M110" s="292">
        <v>17.0</v>
      </c>
    </row>
    <row r="115">
      <c r="A115" s="1" t="s">
        <v>171</v>
      </c>
      <c r="B115" s="2" t="s">
        <v>70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S116" s="3"/>
      <c r="T116" s="3"/>
    </row>
    <row r="117">
      <c r="A117" s="38" t="s">
        <v>49</v>
      </c>
      <c r="B117" s="24" t="s">
        <v>3</v>
      </c>
      <c r="C117" s="24" t="s">
        <v>4</v>
      </c>
      <c r="D117" s="24" t="s">
        <v>5</v>
      </c>
      <c r="E117" s="39" t="s">
        <v>6</v>
      </c>
      <c r="F117" s="24" t="s">
        <v>7</v>
      </c>
      <c r="G117" s="24" t="s">
        <v>71</v>
      </c>
      <c r="H117" s="24" t="s">
        <v>9</v>
      </c>
      <c r="I117" s="24" t="s">
        <v>72</v>
      </c>
      <c r="J117" s="24" t="s">
        <v>73</v>
      </c>
      <c r="K117" s="28" t="s">
        <v>43</v>
      </c>
      <c r="L117" s="3"/>
      <c r="M117" s="3"/>
      <c r="N117" s="3"/>
      <c r="S117" s="3"/>
      <c r="T117" s="3"/>
    </row>
    <row r="118">
      <c r="A118" s="42" t="s">
        <v>21</v>
      </c>
      <c r="B118" s="43">
        <f>689*H118</f>
        <v>129532</v>
      </c>
      <c r="C118" s="63">
        <f t="shared" ref="C118:C121" si="50">J118+G118+I118+K118</f>
        <v>45120</v>
      </c>
      <c r="D118" s="45">
        <f t="shared" ref="D118:D121" si="51">B118-C118</f>
        <v>84412</v>
      </c>
      <c r="E118" s="11">
        <f t="shared" ref="E118:E121" si="52">D118/B118*100</f>
        <v>65.16690856</v>
      </c>
      <c r="F118" s="46">
        <f t="shared" ref="F118:F121" si="53">D118/H118</f>
        <v>449</v>
      </c>
      <c r="G118" s="14">
        <f>220*H118</f>
        <v>41360</v>
      </c>
      <c r="H118" s="48">
        <v>188.0</v>
      </c>
      <c r="I118" s="14">
        <v>0.0</v>
      </c>
      <c r="J118" s="64">
        <v>0.0</v>
      </c>
      <c r="K118" s="65">
        <f t="shared" ref="K118:K121" si="54">20*H118</f>
        <v>3760</v>
      </c>
      <c r="L118" s="53"/>
      <c r="M118" s="41">
        <v>59209.0</v>
      </c>
      <c r="N118" s="3"/>
      <c r="S118" s="3"/>
      <c r="T118" s="3"/>
    </row>
    <row r="119">
      <c r="A119" s="42" t="s">
        <v>26</v>
      </c>
      <c r="B119" s="43">
        <f>359*H119</f>
        <v>65697</v>
      </c>
      <c r="C119" s="63">
        <f t="shared" si="50"/>
        <v>37332</v>
      </c>
      <c r="D119" s="45">
        <f t="shared" si="51"/>
        <v>28365</v>
      </c>
      <c r="E119" s="11">
        <f t="shared" si="52"/>
        <v>43.17548747</v>
      </c>
      <c r="F119" s="46">
        <f t="shared" si="53"/>
        <v>155</v>
      </c>
      <c r="G119" s="14">
        <f>184*H119</f>
        <v>33672</v>
      </c>
      <c r="H119" s="48">
        <v>183.0</v>
      </c>
      <c r="I119" s="14">
        <v>0.0</v>
      </c>
      <c r="J119" s="64">
        <v>0.0</v>
      </c>
      <c r="K119" s="65">
        <f t="shared" si="54"/>
        <v>3660</v>
      </c>
      <c r="L119" s="53"/>
      <c r="M119" s="3"/>
      <c r="N119" s="3"/>
      <c r="S119" s="3"/>
      <c r="T119" s="3"/>
    </row>
    <row r="120">
      <c r="A120" s="42" t="s">
        <v>23</v>
      </c>
      <c r="B120" s="43">
        <f>781*H120</f>
        <v>101530</v>
      </c>
      <c r="C120" s="44">
        <f t="shared" si="50"/>
        <v>42120</v>
      </c>
      <c r="D120" s="45">
        <f t="shared" si="51"/>
        <v>59410</v>
      </c>
      <c r="E120" s="11">
        <f t="shared" si="52"/>
        <v>58.51472471</v>
      </c>
      <c r="F120" s="46">
        <f t="shared" si="53"/>
        <v>457</v>
      </c>
      <c r="G120" s="14">
        <f>304*H120</f>
        <v>39520</v>
      </c>
      <c r="H120" s="48">
        <v>130.0</v>
      </c>
      <c r="I120" s="14">
        <v>0.0</v>
      </c>
      <c r="J120" s="66">
        <f t="shared" ref="J120:J121" si="55">L120%*M120</f>
        <v>0</v>
      </c>
      <c r="K120" s="65">
        <f t="shared" si="54"/>
        <v>2600</v>
      </c>
      <c r="L120" s="3"/>
      <c r="M120" s="3"/>
      <c r="N120" s="3"/>
      <c r="S120" s="3"/>
      <c r="T120" s="3"/>
    </row>
    <row r="121">
      <c r="A121" s="42" t="s">
        <v>29</v>
      </c>
      <c r="B121" s="43">
        <f>843*H121</f>
        <v>127293</v>
      </c>
      <c r="C121" s="44">
        <f t="shared" si="50"/>
        <v>49528</v>
      </c>
      <c r="D121" s="45">
        <f t="shared" si="51"/>
        <v>77765</v>
      </c>
      <c r="E121" s="11">
        <f t="shared" si="52"/>
        <v>61.09134045</v>
      </c>
      <c r="F121" s="46">
        <f t="shared" si="53"/>
        <v>515</v>
      </c>
      <c r="G121" s="14">
        <f>308*H121</f>
        <v>46508</v>
      </c>
      <c r="H121" s="48">
        <v>151.0</v>
      </c>
      <c r="I121" s="14">
        <v>0.0</v>
      </c>
      <c r="J121" s="66">
        <f t="shared" si="55"/>
        <v>0</v>
      </c>
      <c r="K121" s="65">
        <f t="shared" si="54"/>
        <v>3020</v>
      </c>
      <c r="L121" s="3"/>
      <c r="M121" s="3"/>
      <c r="N121" s="3"/>
      <c r="S121" s="3"/>
      <c r="T121" s="3"/>
    </row>
    <row r="122">
      <c r="A122" s="3"/>
      <c r="B122" s="41">
        <f t="shared" ref="B122:H122" si="56">SUM(B118:B121)</f>
        <v>424052</v>
      </c>
      <c r="C122" s="67">
        <f t="shared" si="56"/>
        <v>174100</v>
      </c>
      <c r="D122" s="53">
        <f t="shared" si="56"/>
        <v>249952</v>
      </c>
      <c r="E122" s="68">
        <f t="shared" si="56"/>
        <v>227.9484612</v>
      </c>
      <c r="F122" s="68">
        <f t="shared" si="56"/>
        <v>1576</v>
      </c>
      <c r="G122" s="41">
        <f t="shared" si="56"/>
        <v>161060</v>
      </c>
      <c r="H122" s="41">
        <f t="shared" si="56"/>
        <v>652</v>
      </c>
      <c r="I122" s="41"/>
      <c r="J122" s="67">
        <f>161733</f>
        <v>161733</v>
      </c>
      <c r="K122" s="41">
        <f>SUM(K118:K121)</f>
        <v>13040</v>
      </c>
      <c r="L122" s="3"/>
      <c r="M122" s="3"/>
      <c r="N122" s="3"/>
      <c r="P122" s="3"/>
      <c r="Q122" s="3"/>
      <c r="R122" s="3"/>
      <c r="S122" s="3"/>
      <c r="T122" s="3"/>
      <c r="Y122" s="3"/>
      <c r="Z122" s="3"/>
    </row>
    <row r="125">
      <c r="A125" s="31" t="s">
        <v>40</v>
      </c>
      <c r="B125" s="32">
        <f>B122</f>
        <v>424052</v>
      </c>
      <c r="C125" s="3"/>
      <c r="D125" s="101" t="s">
        <v>39</v>
      </c>
      <c r="E125" s="28" t="s">
        <v>150</v>
      </c>
    </row>
    <row r="126">
      <c r="A126" s="31" t="s">
        <v>41</v>
      </c>
      <c r="B126" s="32">
        <f>G122</f>
        <v>161060</v>
      </c>
      <c r="C126" s="3"/>
      <c r="D126" s="33" t="s">
        <v>41</v>
      </c>
      <c r="E126" s="34">
        <f>B126/H122</f>
        <v>247.0245399</v>
      </c>
    </row>
    <row r="127">
      <c r="A127" s="31" t="s">
        <v>74</v>
      </c>
      <c r="B127" s="32">
        <f>K122</f>
        <v>13040</v>
      </c>
      <c r="C127" s="3"/>
      <c r="D127" s="33" t="s">
        <v>42</v>
      </c>
      <c r="E127" s="34">
        <f>B128/H122</f>
        <v>248.0567485</v>
      </c>
    </row>
    <row r="128">
      <c r="A128" s="31" t="s">
        <v>75</v>
      </c>
      <c r="B128" s="62">
        <f>J122</f>
        <v>161733</v>
      </c>
      <c r="C128" s="3"/>
      <c r="D128" s="69" t="s">
        <v>43</v>
      </c>
      <c r="E128" s="34">
        <f>K122/H122</f>
        <v>20</v>
      </c>
    </row>
    <row r="129">
      <c r="A129" s="31" t="s">
        <v>62</v>
      </c>
      <c r="B129" s="32">
        <f>B125-SUM(B126:B128)</f>
        <v>88219</v>
      </c>
      <c r="C129" s="3"/>
      <c r="D129" s="33" t="s">
        <v>45</v>
      </c>
      <c r="E129" s="34">
        <f>B125/H122</f>
        <v>650.3865031</v>
      </c>
    </row>
    <row r="130">
      <c r="A130" s="31" t="s">
        <v>47</v>
      </c>
      <c r="B130" s="62">
        <f>B129/B125*100</f>
        <v>20.80381651</v>
      </c>
      <c r="C130" s="3"/>
      <c r="D130" s="3"/>
      <c r="E130" s="3"/>
    </row>
    <row r="134">
      <c r="X134" s="3"/>
    </row>
    <row r="135">
      <c r="X135" s="3"/>
    </row>
    <row r="136">
      <c r="A136" s="1" t="s">
        <v>171</v>
      </c>
      <c r="B136" s="2" t="s">
        <v>76</v>
      </c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U137" s="3"/>
      <c r="V137" s="3"/>
      <c r="W137" s="3"/>
    </row>
    <row r="138">
      <c r="A138" s="38" t="s">
        <v>49</v>
      </c>
      <c r="B138" s="24" t="s">
        <v>3</v>
      </c>
      <c r="C138" s="24" t="s">
        <v>4</v>
      </c>
      <c r="D138" s="24" t="s">
        <v>5</v>
      </c>
      <c r="E138" s="39" t="s">
        <v>6</v>
      </c>
      <c r="F138" s="24" t="s">
        <v>7</v>
      </c>
      <c r="G138" s="24" t="s">
        <v>71</v>
      </c>
      <c r="H138" s="24" t="s">
        <v>9</v>
      </c>
      <c r="I138" s="24" t="s">
        <v>77</v>
      </c>
      <c r="J138" s="24" t="s">
        <v>73</v>
      </c>
      <c r="K138" s="28" t="s">
        <v>43</v>
      </c>
      <c r="U138" s="3"/>
      <c r="V138" s="3"/>
      <c r="W138" s="3"/>
    </row>
    <row r="139">
      <c r="A139" s="42" t="s">
        <v>21</v>
      </c>
      <c r="B139" s="43">
        <f>727*H139</f>
        <v>111958</v>
      </c>
      <c r="C139" s="44">
        <f t="shared" ref="C139:C141" si="57">J139+G139+I139+K139</f>
        <v>36960</v>
      </c>
      <c r="D139" s="45">
        <f t="shared" ref="D139:D142" si="58">B139-C139</f>
        <v>74998</v>
      </c>
      <c r="E139" s="11">
        <f t="shared" ref="E139:E141" si="59">D139/B139*100</f>
        <v>66.98762036</v>
      </c>
      <c r="F139" s="46">
        <f t="shared" ref="F139:F141" si="60">D139/H139</f>
        <v>487</v>
      </c>
      <c r="G139" s="14">
        <f>220*H139</f>
        <v>33880</v>
      </c>
      <c r="H139" s="48">
        <v>154.0</v>
      </c>
      <c r="I139" s="14">
        <v>0.0</v>
      </c>
      <c r="J139" s="66">
        <v>0.0</v>
      </c>
      <c r="K139" s="65">
        <f t="shared" ref="K139:K141" si="61">20*H139</f>
        <v>3080</v>
      </c>
    </row>
    <row r="140">
      <c r="A140" s="42" t="s">
        <v>26</v>
      </c>
      <c r="B140" s="43">
        <f>385*H140</f>
        <v>66605</v>
      </c>
      <c r="C140" s="44">
        <f t="shared" si="57"/>
        <v>35292</v>
      </c>
      <c r="D140" s="45">
        <f t="shared" si="58"/>
        <v>31313</v>
      </c>
      <c r="E140" s="11">
        <f t="shared" si="59"/>
        <v>47.01298701</v>
      </c>
      <c r="F140" s="46">
        <f t="shared" si="60"/>
        <v>181</v>
      </c>
      <c r="G140" s="14">
        <f>184*H140</f>
        <v>31832</v>
      </c>
      <c r="H140" s="48">
        <v>173.0</v>
      </c>
      <c r="I140" s="14">
        <v>0.0</v>
      </c>
      <c r="J140" s="66">
        <v>0.0</v>
      </c>
      <c r="K140" s="65">
        <f t="shared" si="61"/>
        <v>3460</v>
      </c>
    </row>
    <row r="141">
      <c r="A141" s="42" t="s">
        <v>23</v>
      </c>
      <c r="B141" s="43">
        <f>801*H141</f>
        <v>104931</v>
      </c>
      <c r="C141" s="44">
        <f t="shared" si="57"/>
        <v>43099</v>
      </c>
      <c r="D141" s="45">
        <f t="shared" si="58"/>
        <v>61832</v>
      </c>
      <c r="E141" s="11">
        <f t="shared" si="59"/>
        <v>58.92634207</v>
      </c>
      <c r="F141" s="46">
        <f t="shared" si="60"/>
        <v>472</v>
      </c>
      <c r="G141" s="14">
        <f>309*H141</f>
        <v>40479</v>
      </c>
      <c r="H141" s="48">
        <v>131.0</v>
      </c>
      <c r="I141" s="14">
        <v>0.0</v>
      </c>
      <c r="J141" s="66">
        <v>0.0</v>
      </c>
      <c r="K141" s="65">
        <f t="shared" si="61"/>
        <v>2620</v>
      </c>
    </row>
    <row r="142">
      <c r="A142" s="3"/>
      <c r="B142" s="41">
        <f t="shared" ref="B142:C142" si="62">SUM(B139:B141)</f>
        <v>283494</v>
      </c>
      <c r="C142" s="41">
        <f t="shared" si="62"/>
        <v>115351</v>
      </c>
      <c r="D142" s="41">
        <f t="shared" si="58"/>
        <v>168143</v>
      </c>
      <c r="E142" s="3"/>
      <c r="F142" s="3"/>
      <c r="G142" s="41">
        <f t="shared" ref="G142:H142" si="63">SUM(G139:G141)</f>
        <v>106191</v>
      </c>
      <c r="H142" s="41">
        <f t="shared" si="63"/>
        <v>458</v>
      </c>
      <c r="I142" s="3"/>
      <c r="J142" s="3">
        <f>14143</f>
        <v>14143</v>
      </c>
      <c r="K142" s="41">
        <f>SUM(K139:K141)</f>
        <v>9160</v>
      </c>
    </row>
    <row r="144">
      <c r="A144" s="31" t="s">
        <v>40</v>
      </c>
      <c r="B144" s="32">
        <f>B142</f>
        <v>283494</v>
      </c>
      <c r="C144" s="3"/>
      <c r="D144" s="30" t="s">
        <v>39</v>
      </c>
      <c r="E144" s="3" t="s">
        <v>151</v>
      </c>
    </row>
    <row r="145">
      <c r="A145" s="31" t="s">
        <v>41</v>
      </c>
      <c r="B145" s="32">
        <f>G142</f>
        <v>106191</v>
      </c>
      <c r="C145" s="3"/>
      <c r="D145" s="33" t="s">
        <v>41</v>
      </c>
      <c r="E145" s="34">
        <f>B145/H142</f>
        <v>231.8580786</v>
      </c>
    </row>
    <row r="146">
      <c r="A146" s="31" t="s">
        <v>74</v>
      </c>
      <c r="B146" s="32">
        <f>K142</f>
        <v>9160</v>
      </c>
      <c r="C146" s="3"/>
      <c r="D146" s="33" t="s">
        <v>42</v>
      </c>
      <c r="E146" s="34">
        <f>B147/H142</f>
        <v>30.87991266</v>
      </c>
    </row>
    <row r="147">
      <c r="A147" s="31" t="s">
        <v>75</v>
      </c>
      <c r="B147" s="32">
        <f>I142+J142</f>
        <v>14143</v>
      </c>
      <c r="C147" s="3"/>
      <c r="D147" s="69" t="s">
        <v>43</v>
      </c>
      <c r="E147" s="34">
        <f>B146/H142</f>
        <v>20</v>
      </c>
    </row>
    <row r="148">
      <c r="A148" s="31" t="s">
        <v>62</v>
      </c>
      <c r="B148" s="32">
        <f>B144-SUM(B145:B147)</f>
        <v>154000</v>
      </c>
      <c r="C148" s="3"/>
      <c r="D148" s="33" t="s">
        <v>45</v>
      </c>
      <c r="E148" s="34">
        <f>B144/H142</f>
        <v>618.9825328</v>
      </c>
    </row>
    <row r="149">
      <c r="A149" s="31" t="s">
        <v>47</v>
      </c>
      <c r="B149" s="62">
        <f>B148/B144*100</f>
        <v>54.32213733</v>
      </c>
      <c r="C149" s="3"/>
      <c r="D149" s="3"/>
      <c r="E149" s="3"/>
    </row>
    <row r="152">
      <c r="A152" s="1" t="s">
        <v>171</v>
      </c>
      <c r="B152" s="2" t="s">
        <v>78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S153" s="3"/>
      <c r="T153" s="3"/>
    </row>
    <row r="154">
      <c r="A154" s="38" t="s">
        <v>49</v>
      </c>
      <c r="B154" s="24" t="s">
        <v>3</v>
      </c>
      <c r="C154" s="24" t="s">
        <v>4</v>
      </c>
      <c r="D154" s="24" t="s">
        <v>5</v>
      </c>
      <c r="E154" s="39" t="s">
        <v>6</v>
      </c>
      <c r="F154" s="24" t="s">
        <v>7</v>
      </c>
      <c r="G154" s="24" t="s">
        <v>11</v>
      </c>
      <c r="H154" s="24" t="s">
        <v>12</v>
      </c>
      <c r="I154" s="3"/>
      <c r="J154" s="3"/>
      <c r="K154" s="3"/>
      <c r="L154" s="3"/>
    </row>
    <row r="155">
      <c r="A155" s="42" t="s">
        <v>21</v>
      </c>
      <c r="B155" s="43">
        <f>45670</f>
        <v>45670</v>
      </c>
      <c r="C155" s="44">
        <f t="shared" ref="C155:C170" si="64">G155</f>
        <v>17600</v>
      </c>
      <c r="D155" s="45">
        <f t="shared" ref="D155:D171" si="65">B155-C155</f>
        <v>28070</v>
      </c>
      <c r="E155" s="11">
        <f t="shared" ref="E155:E170" si="66">D155/B155*100</f>
        <v>61.46266696</v>
      </c>
      <c r="F155" s="46">
        <f t="shared" ref="F155:F170" si="67">D155/H155</f>
        <v>350.875</v>
      </c>
      <c r="G155" s="14">
        <f>220*H155</f>
        <v>17600</v>
      </c>
      <c r="H155" s="48">
        <f>80</f>
        <v>80</v>
      </c>
      <c r="I155" s="3"/>
      <c r="J155" s="3"/>
      <c r="K155" s="3"/>
      <c r="L155" s="3"/>
    </row>
    <row r="156">
      <c r="A156" s="42" t="s">
        <v>23</v>
      </c>
      <c r="B156" s="43">
        <v>57149.0</v>
      </c>
      <c r="C156" s="44">
        <f t="shared" si="64"/>
        <v>27056</v>
      </c>
      <c r="D156" s="45">
        <f t="shared" si="65"/>
        <v>30093</v>
      </c>
      <c r="E156" s="11">
        <f t="shared" si="66"/>
        <v>52.65708936</v>
      </c>
      <c r="F156" s="46">
        <f t="shared" si="67"/>
        <v>338.1235955</v>
      </c>
      <c r="G156" s="14">
        <f>304*H156</f>
        <v>27056</v>
      </c>
      <c r="H156" s="48">
        <v>89.0</v>
      </c>
      <c r="I156" s="3"/>
      <c r="J156" s="3"/>
      <c r="K156" s="3"/>
      <c r="L156" s="3"/>
    </row>
    <row r="157">
      <c r="A157" s="42" t="s">
        <v>25</v>
      </c>
      <c r="B157" s="43"/>
      <c r="C157" s="44">
        <f t="shared" si="64"/>
        <v>0</v>
      </c>
      <c r="D157" s="45">
        <f t="shared" si="65"/>
        <v>0</v>
      </c>
      <c r="E157" s="11" t="str">
        <f t="shared" si="66"/>
        <v>#DIV/0!</v>
      </c>
      <c r="F157" s="46" t="str">
        <f t="shared" si="67"/>
        <v>#DIV/0!</v>
      </c>
      <c r="G157" s="14">
        <f> 662*H157</f>
        <v>0</v>
      </c>
      <c r="H157" s="48"/>
      <c r="I157" s="3"/>
      <c r="J157" s="3"/>
      <c r="K157" s="3"/>
      <c r="L157" s="3"/>
    </row>
    <row r="158">
      <c r="A158" s="42" t="s">
        <v>26</v>
      </c>
      <c r="B158" s="43">
        <v>5392.0</v>
      </c>
      <c r="C158" s="44">
        <f t="shared" si="64"/>
        <v>3312</v>
      </c>
      <c r="D158" s="45">
        <f t="shared" si="65"/>
        <v>2080</v>
      </c>
      <c r="E158" s="11">
        <f t="shared" si="66"/>
        <v>38.57566766</v>
      </c>
      <c r="F158" s="46">
        <f t="shared" si="67"/>
        <v>115.5555556</v>
      </c>
      <c r="G158" s="14">
        <f>184*H158</f>
        <v>3312</v>
      </c>
      <c r="H158" s="48">
        <v>18.0</v>
      </c>
      <c r="I158" s="3"/>
      <c r="J158" s="3"/>
      <c r="K158" s="3"/>
      <c r="L158" s="3"/>
    </row>
    <row r="159">
      <c r="A159" s="42" t="s">
        <v>28</v>
      </c>
      <c r="B159" s="43"/>
      <c r="C159" s="44">
        <f t="shared" si="64"/>
        <v>0</v>
      </c>
      <c r="D159" s="45">
        <f t="shared" si="65"/>
        <v>0</v>
      </c>
      <c r="E159" s="11" t="str">
        <f t="shared" si="66"/>
        <v>#DIV/0!</v>
      </c>
      <c r="F159" s="46" t="str">
        <f t="shared" si="67"/>
        <v>#DIV/0!</v>
      </c>
      <c r="G159" s="14">
        <f>250*H159</f>
        <v>0</v>
      </c>
      <c r="H159" s="48"/>
      <c r="I159" s="3"/>
      <c r="J159" s="3"/>
      <c r="K159" s="3"/>
      <c r="L159" s="3"/>
    </row>
    <row r="160">
      <c r="A160" s="42" t="s">
        <v>29</v>
      </c>
      <c r="B160" s="43">
        <f>20483</f>
        <v>20483</v>
      </c>
      <c r="C160" s="44">
        <f t="shared" si="64"/>
        <v>9240</v>
      </c>
      <c r="D160" s="45">
        <f t="shared" si="65"/>
        <v>11243</v>
      </c>
      <c r="E160" s="11">
        <f t="shared" si="66"/>
        <v>54.8894205</v>
      </c>
      <c r="F160" s="46">
        <f t="shared" si="67"/>
        <v>374.7666667</v>
      </c>
      <c r="G160" s="14">
        <f>308*H160</f>
        <v>9240</v>
      </c>
      <c r="H160" s="48">
        <v>30.0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42" t="s">
        <v>31</v>
      </c>
      <c r="B161" s="43"/>
      <c r="C161" s="44">
        <f t="shared" si="64"/>
        <v>0</v>
      </c>
      <c r="D161" s="45">
        <f t="shared" si="65"/>
        <v>0</v>
      </c>
      <c r="E161" s="11" t="str">
        <f t="shared" si="66"/>
        <v>#DIV/0!</v>
      </c>
      <c r="F161" s="46" t="str">
        <f t="shared" si="67"/>
        <v>#DIV/0!</v>
      </c>
      <c r="G161" s="14">
        <f>500*H161</f>
        <v>0</v>
      </c>
      <c r="H161" s="48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2" t="s">
        <v>32</v>
      </c>
      <c r="B162" s="43"/>
      <c r="C162" s="44">
        <f t="shared" si="64"/>
        <v>0</v>
      </c>
      <c r="D162" s="45">
        <f t="shared" si="65"/>
        <v>0</v>
      </c>
      <c r="E162" s="11" t="str">
        <f t="shared" si="66"/>
        <v>#DIV/0!</v>
      </c>
      <c r="F162" s="46" t="str">
        <f t="shared" si="67"/>
        <v>#DIV/0!</v>
      </c>
      <c r="G162" s="14">
        <f>800*H162</f>
        <v>0</v>
      </c>
      <c r="H162" s="48"/>
      <c r="I162" s="3"/>
      <c r="J162" s="3"/>
      <c r="K162" s="3"/>
      <c r="L162" s="3"/>
    </row>
    <row r="163">
      <c r="A163" s="42" t="s">
        <v>33</v>
      </c>
      <c r="B163" s="43"/>
      <c r="C163" s="44">
        <f t="shared" si="64"/>
        <v>0</v>
      </c>
      <c r="D163" s="45">
        <f t="shared" si="65"/>
        <v>0</v>
      </c>
      <c r="E163" s="11" t="str">
        <f t="shared" si="66"/>
        <v>#DIV/0!</v>
      </c>
      <c r="F163" s="46" t="str">
        <f t="shared" si="67"/>
        <v>#DIV/0!</v>
      </c>
      <c r="G163" s="14">
        <f>778*H163</f>
        <v>0</v>
      </c>
      <c r="H163" s="48"/>
      <c r="I163" s="3"/>
      <c r="J163" s="3"/>
      <c r="K163" s="3"/>
      <c r="L163" s="3"/>
    </row>
    <row r="164" ht="14.25" customHeight="1">
      <c r="A164" s="211" t="s">
        <v>131</v>
      </c>
      <c r="B164" s="212">
        <v>6442.0</v>
      </c>
      <c r="C164" s="221">
        <f t="shared" si="64"/>
        <v>5400</v>
      </c>
      <c r="D164" s="214">
        <f t="shared" si="65"/>
        <v>1042</v>
      </c>
      <c r="E164" s="215">
        <f t="shared" si="66"/>
        <v>16.1751009</v>
      </c>
      <c r="F164" s="216">
        <f t="shared" si="67"/>
        <v>173.6666667</v>
      </c>
      <c r="G164" s="218">
        <f>(900)*H164</f>
        <v>5400</v>
      </c>
      <c r="H164" s="219">
        <v>6.0</v>
      </c>
    </row>
    <row r="165">
      <c r="A165" s="42" t="s">
        <v>54</v>
      </c>
      <c r="B165" s="43"/>
      <c r="C165" s="44">
        <f t="shared" si="64"/>
        <v>0</v>
      </c>
      <c r="D165" s="45">
        <f t="shared" si="65"/>
        <v>0</v>
      </c>
      <c r="E165" s="11" t="str">
        <f t="shared" si="66"/>
        <v>#DIV/0!</v>
      </c>
      <c r="F165" s="46" t="str">
        <f t="shared" si="67"/>
        <v>#DIV/0!</v>
      </c>
      <c r="G165" s="14">
        <f>200*H165</f>
        <v>0</v>
      </c>
      <c r="H165" s="48"/>
      <c r="I165" s="3"/>
      <c r="J165" s="3"/>
      <c r="K165" s="3"/>
      <c r="L165" s="3"/>
      <c r="N165" s="3"/>
    </row>
    <row r="166">
      <c r="A166" s="42" t="s">
        <v>55</v>
      </c>
      <c r="B166" s="43">
        <v>5781.0</v>
      </c>
      <c r="C166" s="44">
        <f t="shared" si="64"/>
        <v>2828</v>
      </c>
      <c r="D166" s="45">
        <f t="shared" si="65"/>
        <v>2953</v>
      </c>
      <c r="E166" s="11">
        <f t="shared" si="66"/>
        <v>51.08112783</v>
      </c>
      <c r="F166" s="46">
        <f t="shared" si="67"/>
        <v>421.8571429</v>
      </c>
      <c r="G166" s="14">
        <f>(184+220)*H166</f>
        <v>2828</v>
      </c>
      <c r="H166" s="48">
        <v>7.0</v>
      </c>
      <c r="I166" s="3"/>
      <c r="J166" s="3"/>
      <c r="K166" s="3"/>
      <c r="L166" s="3"/>
    </row>
    <row r="167">
      <c r="A167" s="42" t="s">
        <v>56</v>
      </c>
      <c r="B167" s="43">
        <v>6332.0</v>
      </c>
      <c r="C167" s="44">
        <f t="shared" si="64"/>
        <v>3144</v>
      </c>
      <c r="D167" s="45">
        <f t="shared" si="65"/>
        <v>3188</v>
      </c>
      <c r="E167" s="11">
        <f t="shared" si="66"/>
        <v>50.34744157</v>
      </c>
      <c r="F167" s="46">
        <f t="shared" si="67"/>
        <v>531.3333333</v>
      </c>
      <c r="G167" s="14">
        <f>(220+304)*H167</f>
        <v>3144</v>
      </c>
      <c r="H167" s="48">
        <v>6.0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42" t="s">
        <v>57</v>
      </c>
      <c r="B168" s="43"/>
      <c r="C168" s="44">
        <f t="shared" si="64"/>
        <v>0</v>
      </c>
      <c r="D168" s="45">
        <f t="shared" si="65"/>
        <v>0</v>
      </c>
      <c r="E168" s="11" t="str">
        <f t="shared" si="66"/>
        <v>#DIV/0!</v>
      </c>
      <c r="F168" s="46" t="str">
        <f t="shared" si="67"/>
        <v>#DIV/0!</v>
      </c>
      <c r="G168" s="14">
        <f>(220+308)*H168</f>
        <v>0</v>
      </c>
      <c r="H168" s="48"/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42" t="s">
        <v>58</v>
      </c>
      <c r="B169" s="43"/>
      <c r="C169" s="44">
        <f t="shared" si="64"/>
        <v>0</v>
      </c>
      <c r="D169" s="45">
        <f t="shared" si="65"/>
        <v>0</v>
      </c>
      <c r="E169" s="11" t="str">
        <f t="shared" si="66"/>
        <v>#DIV/0!</v>
      </c>
      <c r="F169" s="46" t="str">
        <f t="shared" si="67"/>
        <v>#DIV/0!</v>
      </c>
      <c r="G169" s="14">
        <f>(304+184)*H169</f>
        <v>0</v>
      </c>
      <c r="H169" s="48"/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42" t="s">
        <v>59</v>
      </c>
      <c r="B170" s="43"/>
      <c r="C170" s="44">
        <f t="shared" si="64"/>
        <v>0</v>
      </c>
      <c r="D170" s="45">
        <f t="shared" si="65"/>
        <v>0</v>
      </c>
      <c r="E170" s="11" t="str">
        <f t="shared" si="66"/>
        <v>#DIV/0!</v>
      </c>
      <c r="F170" s="46" t="str">
        <f t="shared" si="67"/>
        <v>#DIV/0!</v>
      </c>
      <c r="G170" s="14">
        <f>(304+308)*H170</f>
        <v>0</v>
      </c>
      <c r="H170" s="48"/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A171" s="3" t="s">
        <v>38</v>
      </c>
      <c r="B171" s="57">
        <f t="shared" ref="B171:C171" si="68">SUM(B155:B170)</f>
        <v>147249</v>
      </c>
      <c r="C171" s="41">
        <f t="shared" si="68"/>
        <v>68580</v>
      </c>
      <c r="D171" s="57">
        <f t="shared" si="65"/>
        <v>78669</v>
      </c>
      <c r="E171" s="3"/>
      <c r="F171" s="3"/>
      <c r="G171" s="41">
        <f t="shared" ref="G171:H171" si="69">SUM(G155:G170)</f>
        <v>68580</v>
      </c>
      <c r="H171" s="41">
        <f t="shared" si="69"/>
        <v>236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3">
      <c r="A173" s="31" t="s">
        <v>40</v>
      </c>
      <c r="B173" s="36">
        <f>B171</f>
        <v>147249</v>
      </c>
      <c r="C173" s="3"/>
      <c r="D173" s="30"/>
      <c r="E173" s="3"/>
      <c r="K173" s="107"/>
      <c r="L173" s="107"/>
    </row>
    <row r="174">
      <c r="A174" s="31" t="s">
        <v>41</v>
      </c>
      <c r="B174" s="32">
        <f>G171</f>
        <v>68580</v>
      </c>
      <c r="C174" s="3"/>
      <c r="D174" s="33" t="s">
        <v>41</v>
      </c>
      <c r="E174" s="34">
        <f>B174/H171</f>
        <v>290.5932203</v>
      </c>
      <c r="K174" s="115" t="s">
        <v>40</v>
      </c>
      <c r="L174" s="116">
        <v>147249.0</v>
      </c>
    </row>
    <row r="175">
      <c r="A175" s="31" t="s">
        <v>74</v>
      </c>
      <c r="B175" s="32">
        <v>0.0</v>
      </c>
      <c r="C175" s="3"/>
      <c r="D175" s="33" t="s">
        <v>42</v>
      </c>
      <c r="E175" s="34">
        <f>B176</f>
        <v>0</v>
      </c>
      <c r="K175" s="293" t="s">
        <v>172</v>
      </c>
      <c r="L175" s="293">
        <v>323.0</v>
      </c>
    </row>
    <row r="176">
      <c r="A176" s="31" t="s">
        <v>75</v>
      </c>
      <c r="B176" s="32">
        <f>I170+J170</f>
        <v>0</v>
      </c>
      <c r="C176" s="3"/>
      <c r="D176" s="69" t="s">
        <v>43</v>
      </c>
      <c r="E176" s="34">
        <f>B175/H171</f>
        <v>0</v>
      </c>
      <c r="K176" s="288" t="s">
        <v>45</v>
      </c>
      <c r="L176" s="288">
        <v>906.0</v>
      </c>
    </row>
    <row r="177">
      <c r="A177" s="31" t="s">
        <v>62</v>
      </c>
      <c r="B177" s="36">
        <f>B173-SUM(B174:B176)</f>
        <v>78669</v>
      </c>
      <c r="C177" s="3"/>
      <c r="D177" s="33" t="s">
        <v>45</v>
      </c>
      <c r="E177" s="34">
        <f>B173/H171</f>
        <v>623.9364407</v>
      </c>
    </row>
    <row r="178">
      <c r="A178" s="31" t="s">
        <v>47</v>
      </c>
      <c r="B178" s="62">
        <f>B177/B173*100</f>
        <v>53.42582972</v>
      </c>
      <c r="C178" s="3"/>
      <c r="D178" s="3"/>
      <c r="E178" s="3"/>
    </row>
    <row r="179">
      <c r="A179" s="259"/>
      <c r="B179" s="260"/>
      <c r="C179" s="157"/>
      <c r="D179" s="157"/>
      <c r="E179" s="157"/>
      <c r="F179" s="70"/>
      <c r="G179" s="70"/>
    </row>
    <row r="180">
      <c r="A180" s="259"/>
      <c r="B180" s="260"/>
      <c r="C180" s="157"/>
      <c r="D180" s="157"/>
      <c r="E180" s="157"/>
      <c r="F180" s="70"/>
      <c r="G180" s="70"/>
    </row>
    <row r="181">
      <c r="A181" s="1" t="s">
        <v>171</v>
      </c>
      <c r="B181" s="2" t="s">
        <v>162</v>
      </c>
      <c r="C181" s="157"/>
      <c r="D181" s="157"/>
      <c r="E181" s="157"/>
      <c r="F181" s="70"/>
      <c r="G181" s="70"/>
    </row>
    <row r="182">
      <c r="A182" s="38" t="s">
        <v>49</v>
      </c>
      <c r="B182" s="24" t="s">
        <v>3</v>
      </c>
      <c r="C182" s="24" t="s">
        <v>4</v>
      </c>
      <c r="D182" s="24" t="s">
        <v>5</v>
      </c>
      <c r="E182" s="39" t="s">
        <v>6</v>
      </c>
      <c r="F182" s="24" t="s">
        <v>7</v>
      </c>
      <c r="G182" s="24" t="s">
        <v>11</v>
      </c>
      <c r="H182" s="24" t="s">
        <v>12</v>
      </c>
    </row>
    <row r="183">
      <c r="A183" s="24" t="s">
        <v>21</v>
      </c>
      <c r="B183" s="212"/>
      <c r="C183" s="221">
        <f t="shared" ref="C183:C187" si="70">G183</f>
        <v>0</v>
      </c>
      <c r="D183" s="214">
        <f t="shared" ref="D183:D187" si="71">B183-C183</f>
        <v>0</v>
      </c>
      <c r="E183" s="215" t="str">
        <f t="shared" ref="E183:E187" si="72">D183/B183*100</f>
        <v>#DIV/0!</v>
      </c>
      <c r="F183" s="216" t="str">
        <f t="shared" ref="F183:F187" si="73">D183/H183</f>
        <v>#DIV/0!</v>
      </c>
      <c r="G183" s="218">
        <f>220*H183</f>
        <v>0</v>
      </c>
      <c r="H183" s="219"/>
    </row>
    <row r="184">
      <c r="A184" s="90" t="s">
        <v>163</v>
      </c>
      <c r="B184" s="212">
        <v>999.0</v>
      </c>
      <c r="C184" s="221">
        <f t="shared" si="70"/>
        <v>304</v>
      </c>
      <c r="D184" s="214">
        <f t="shared" si="71"/>
        <v>695</v>
      </c>
      <c r="E184" s="215">
        <f t="shared" si="72"/>
        <v>69.56956957</v>
      </c>
      <c r="F184" s="216">
        <f t="shared" si="73"/>
        <v>695</v>
      </c>
      <c r="G184" s="218">
        <f>304*H184</f>
        <v>304</v>
      </c>
      <c r="H184" s="219">
        <v>1.0</v>
      </c>
    </row>
    <row r="185">
      <c r="A185" s="90" t="s">
        <v>164</v>
      </c>
      <c r="B185" s="212"/>
      <c r="C185" s="221">
        <f t="shared" si="70"/>
        <v>0</v>
      </c>
      <c r="D185" s="214">
        <f t="shared" si="71"/>
        <v>0</v>
      </c>
      <c r="E185" s="215" t="str">
        <f t="shared" si="72"/>
        <v>#DIV/0!</v>
      </c>
      <c r="F185" s="216" t="str">
        <f t="shared" si="73"/>
        <v>#DIV/0!</v>
      </c>
      <c r="G185" s="218">
        <f>662*H185</f>
        <v>0</v>
      </c>
      <c r="H185" s="219"/>
    </row>
    <row r="186">
      <c r="A186" s="90" t="s">
        <v>175</v>
      </c>
      <c r="B186" s="212">
        <v>1001.0</v>
      </c>
      <c r="C186" s="221">
        <f t="shared" si="70"/>
        <v>300</v>
      </c>
      <c r="D186" s="214">
        <f t="shared" si="71"/>
        <v>701</v>
      </c>
      <c r="E186" s="215">
        <f t="shared" si="72"/>
        <v>70.02997003</v>
      </c>
      <c r="F186" s="216">
        <f t="shared" si="73"/>
        <v>701</v>
      </c>
      <c r="G186" s="218">
        <f>300*H186</f>
        <v>300</v>
      </c>
      <c r="H186" s="219">
        <v>1.0</v>
      </c>
    </row>
    <row r="187">
      <c r="A187" s="90" t="s">
        <v>166</v>
      </c>
      <c r="B187" s="212"/>
      <c r="C187" s="221">
        <f t="shared" si="70"/>
        <v>0</v>
      </c>
      <c r="D187" s="214">
        <f t="shared" si="71"/>
        <v>0</v>
      </c>
      <c r="E187" s="215" t="str">
        <f t="shared" si="72"/>
        <v>#DIV/0!</v>
      </c>
      <c r="F187" s="216" t="str">
        <f t="shared" si="73"/>
        <v>#DIV/0!</v>
      </c>
      <c r="G187" s="218">
        <f t="shared" ref="G187:G188" si="75">778*H187</f>
        <v>0</v>
      </c>
      <c r="H187" s="219"/>
    </row>
    <row r="188">
      <c r="A188" s="90"/>
      <c r="B188" s="261">
        <f>SUM(B182:B187)</f>
        <v>2000</v>
      </c>
      <c r="C188" s="262">
        <f t="shared" ref="C188:D188" si="74">SUM(C183:C187)</f>
        <v>604</v>
      </c>
      <c r="D188" s="263">
        <f t="shared" si="74"/>
        <v>1396</v>
      </c>
      <c r="E188" s="262"/>
      <c r="F188" s="264"/>
      <c r="G188" s="265">
        <f t="shared" si="75"/>
        <v>1556</v>
      </c>
      <c r="H188" s="107">
        <f>SUM(H183:H187)</f>
        <v>2</v>
      </c>
    </row>
    <row r="189">
      <c r="A189" s="259"/>
      <c r="B189" s="260"/>
      <c r="C189" s="157"/>
      <c r="D189" s="157"/>
      <c r="E189" s="157"/>
      <c r="F189" s="70"/>
      <c r="G189" s="70"/>
    </row>
    <row r="190">
      <c r="A190" s="259"/>
      <c r="B190" s="260"/>
      <c r="C190" s="157"/>
      <c r="D190" s="157"/>
      <c r="E190" s="157"/>
      <c r="F190" s="70"/>
      <c r="G190" s="70"/>
    </row>
    <row r="191">
      <c r="A191" s="259"/>
      <c r="B191" s="260"/>
      <c r="C191" s="157"/>
      <c r="D191" s="157"/>
      <c r="E191" s="157"/>
      <c r="F191" s="70"/>
      <c r="G191" s="70"/>
    </row>
    <row r="192">
      <c r="A192" s="259"/>
      <c r="B192" s="260"/>
      <c r="C192" s="157"/>
      <c r="D192" s="157"/>
      <c r="E192" s="157"/>
      <c r="F192" s="70"/>
      <c r="G192" s="70"/>
    </row>
    <row r="193">
      <c r="A193" s="259"/>
      <c r="B193" s="260"/>
      <c r="C193" s="157"/>
      <c r="D193" s="157"/>
      <c r="E193" s="157"/>
      <c r="F193" s="70"/>
      <c r="G193" s="70"/>
    </row>
    <row r="194">
      <c r="A194" s="70"/>
      <c r="B194" s="70"/>
      <c r="C194" s="70"/>
      <c r="D194" s="70"/>
      <c r="E194" s="70"/>
      <c r="F194" s="70"/>
      <c r="G194" s="70"/>
    </row>
    <row r="195" ht="18.0" customHeight="1"/>
    <row r="196">
      <c r="A196" s="127">
        <v>45931.0</v>
      </c>
    </row>
    <row r="197" ht="15.75" customHeight="1"/>
    <row r="198">
      <c r="A198" s="227" t="s">
        <v>152</v>
      </c>
      <c r="B198" s="228">
        <f>K35+I69+I102+H122+H142+H171+H188</f>
        <v>14931</v>
      </c>
    </row>
    <row r="199">
      <c r="A199" s="71" t="s">
        <v>79</v>
      </c>
      <c r="B199" s="72">
        <f>B40+B72+B105+B125+B144+B173+B188</f>
        <v>13746617.41</v>
      </c>
      <c r="C199" s="128">
        <f>B199/1.12</f>
        <v>12273765.54</v>
      </c>
      <c r="E199" s="128">
        <f t="shared" ref="E199:E200" si="76">B199-C199</f>
        <v>1472851.865</v>
      </c>
    </row>
    <row r="200">
      <c r="A200" s="229" t="s">
        <v>41</v>
      </c>
      <c r="B200" s="230">
        <f>B41+B73+B106+B126+B145+B174</f>
        <v>4969886</v>
      </c>
      <c r="C200" s="128">
        <f>B200/1.18</f>
        <v>4211767.797</v>
      </c>
      <c r="D200" s="294"/>
      <c r="E200" s="295">
        <f t="shared" si="76"/>
        <v>758118.2034</v>
      </c>
      <c r="F200" s="168"/>
      <c r="G200" s="70"/>
      <c r="H200" s="129"/>
      <c r="I200" s="129"/>
      <c r="J200" s="129"/>
      <c r="K200" s="70"/>
    </row>
    <row r="201">
      <c r="A201" s="231" t="s">
        <v>80</v>
      </c>
      <c r="B201" s="232">
        <f>B199-B200</f>
        <v>8776731.41</v>
      </c>
      <c r="C201" s="128">
        <f>B201</f>
        <v>8776731.41</v>
      </c>
      <c r="E201" s="128">
        <f>B204-C204</f>
        <v>896158.9342</v>
      </c>
      <c r="F201" s="128"/>
      <c r="G201" s="169">
        <f>E199-F202</f>
        <v>-181425.2723</v>
      </c>
      <c r="H201" s="70"/>
      <c r="I201" s="169"/>
      <c r="J201" s="148"/>
      <c r="K201" s="70"/>
      <c r="M201" s="128"/>
      <c r="N201" s="113"/>
    </row>
    <row r="202">
      <c r="A202" s="71" t="s">
        <v>81</v>
      </c>
      <c r="B202" s="78">
        <f>B201/B199</f>
        <v>0.6384648054</v>
      </c>
      <c r="F202" s="128">
        <f>E200+E201</f>
        <v>1654277.138</v>
      </c>
      <c r="G202" s="70"/>
      <c r="H202" s="70"/>
      <c r="I202" s="169"/>
      <c r="J202" s="148"/>
      <c r="K202" s="70"/>
    </row>
    <row r="203">
      <c r="A203" s="231" t="s">
        <v>82</v>
      </c>
      <c r="B203" s="232">
        <f>B175+B146+B127+B107+B74+B42+B75</f>
        <v>1581941</v>
      </c>
      <c r="C203" s="128">
        <f>B203</f>
        <v>1581941</v>
      </c>
      <c r="D203" s="296"/>
      <c r="F203" s="128"/>
      <c r="G203" s="70"/>
      <c r="H203" s="70"/>
      <c r="I203" s="169"/>
      <c r="J203" s="148"/>
      <c r="K203" s="70"/>
      <c r="L203" s="128"/>
      <c r="M203" s="113"/>
    </row>
    <row r="204">
      <c r="A204" s="233" t="s">
        <v>83</v>
      </c>
      <c r="B204" s="234">
        <f>B43+B76+B108+B128+B147+B176</f>
        <v>5874819.68</v>
      </c>
      <c r="C204" s="128">
        <f>B204/1.18</f>
        <v>4978660.746</v>
      </c>
      <c r="F204" s="113"/>
      <c r="G204" s="70"/>
      <c r="H204" s="70"/>
      <c r="I204" s="169"/>
      <c r="J204" s="148"/>
      <c r="K204" s="70"/>
    </row>
    <row r="205">
      <c r="A205" s="81" t="s">
        <v>84</v>
      </c>
      <c r="B205" s="82">
        <f>B201-(B203+B204)</f>
        <v>1319970.73</v>
      </c>
      <c r="C205" s="128">
        <f>B205</f>
        <v>1319970.73</v>
      </c>
      <c r="G205" s="70"/>
      <c r="H205" s="157"/>
      <c r="I205" s="170"/>
      <c r="J205" s="148"/>
      <c r="K205" s="70"/>
    </row>
    <row r="206">
      <c r="A206" s="71" t="s">
        <v>85</v>
      </c>
      <c r="B206" s="78">
        <f>B205/B199</f>
        <v>0.09602149319</v>
      </c>
      <c r="G206" s="70"/>
      <c r="H206" s="70"/>
      <c r="I206" s="169"/>
      <c r="J206" s="148"/>
      <c r="K206" s="70"/>
    </row>
    <row r="207">
      <c r="A207" s="235" t="s">
        <v>86</v>
      </c>
      <c r="B207" s="236">
        <v>1149510.0</v>
      </c>
      <c r="C207" s="128">
        <f>B207</f>
        <v>1149510</v>
      </c>
      <c r="E207" s="70"/>
      <c r="F207" s="70"/>
      <c r="G207" s="70"/>
      <c r="H207" s="129"/>
      <c r="I207" s="129"/>
      <c r="J207" s="70"/>
      <c r="K207" s="70"/>
    </row>
    <row r="208">
      <c r="A208" s="85" t="s">
        <v>87</v>
      </c>
      <c r="B208" s="86">
        <f t="shared" ref="B208:C208" si="77">B207+B204+B203+B200</f>
        <v>13576156.68</v>
      </c>
      <c r="C208" s="128">
        <f t="shared" si="77"/>
        <v>11921879.54</v>
      </c>
      <c r="E208" s="129"/>
      <c r="F208" s="171"/>
      <c r="G208" s="129"/>
      <c r="H208" s="70"/>
      <c r="I208" s="70"/>
      <c r="J208" s="70"/>
      <c r="K208" s="70"/>
    </row>
    <row r="209">
      <c r="A209" s="87" t="s">
        <v>88</v>
      </c>
      <c r="B209" s="88">
        <f t="shared" ref="B209:C209" si="78">B199-B208</f>
        <v>170460.73</v>
      </c>
      <c r="C209" s="128">
        <f t="shared" si="78"/>
        <v>351886.0023</v>
      </c>
      <c r="E209" s="70"/>
      <c r="F209" s="172"/>
      <c r="G209" s="70"/>
      <c r="H209" s="70"/>
      <c r="I209" s="70"/>
      <c r="J209" s="70"/>
      <c r="K209" s="70"/>
    </row>
    <row r="210">
      <c r="A210" s="71" t="s">
        <v>89</v>
      </c>
      <c r="B210" s="89">
        <f>B209/B199</f>
        <v>0.01240019453</v>
      </c>
      <c r="E210" s="70"/>
      <c r="F210" s="172"/>
      <c r="G210" s="70"/>
      <c r="H210" s="70"/>
      <c r="I210" s="70"/>
      <c r="J210" s="70"/>
      <c r="K210" s="70"/>
    </row>
    <row r="211">
      <c r="E211" s="70"/>
      <c r="F211" s="172"/>
      <c r="G211" s="70"/>
      <c r="H211" s="70"/>
      <c r="I211" s="70"/>
      <c r="J211" s="70"/>
      <c r="K211" s="70"/>
    </row>
    <row r="212">
      <c r="E212" s="70"/>
      <c r="F212" s="172"/>
      <c r="G212" s="70"/>
      <c r="H212" s="70"/>
    </row>
    <row r="213">
      <c r="E213" s="129"/>
      <c r="F213" s="173"/>
      <c r="G213" s="129"/>
      <c r="H213" s="70"/>
    </row>
    <row r="214">
      <c r="A214" s="267" t="s">
        <v>91</v>
      </c>
      <c r="B214" s="268">
        <f>SUM(B215:B221)</f>
        <v>14931</v>
      </c>
      <c r="E214" s="60" t="s">
        <v>21</v>
      </c>
      <c r="F214" s="166">
        <f>B4+B52+B88+B118+B139+B155+B183</f>
        <v>2592572.14</v>
      </c>
      <c r="G214" s="70"/>
      <c r="H214" s="70"/>
    </row>
    <row r="215">
      <c r="A215" s="107" t="s">
        <v>92</v>
      </c>
      <c r="B215" s="270">
        <v>8310.0</v>
      </c>
      <c r="E215" s="60" t="s">
        <v>23</v>
      </c>
      <c r="F215" s="166">
        <f>B6+B53+B89+B120+B141+B156+B184</f>
        <v>3620115.13</v>
      </c>
      <c r="G215" s="70"/>
      <c r="H215" s="70"/>
    </row>
    <row r="216">
      <c r="A216" s="107" t="s">
        <v>48</v>
      </c>
      <c r="B216" s="270">
        <v>4949.0</v>
      </c>
      <c r="E216" s="60" t="s">
        <v>25</v>
      </c>
      <c r="F216" s="166">
        <f>B8+B54+B90+B157+B185</f>
        <v>260230.73</v>
      </c>
      <c r="G216" s="70"/>
      <c r="H216" s="70"/>
    </row>
    <row r="217">
      <c r="A217" s="107" t="s">
        <v>64</v>
      </c>
      <c r="B217" s="270">
        <v>652.0</v>
      </c>
      <c r="E217" s="60" t="s">
        <v>26</v>
      </c>
      <c r="F217" s="166">
        <f>B9+B55+B91+B119+B140+B158</f>
        <v>595272.46</v>
      </c>
      <c r="G217" s="70"/>
      <c r="H217" s="70"/>
    </row>
    <row r="218">
      <c r="A218" s="107" t="s">
        <v>70</v>
      </c>
      <c r="B218" s="270">
        <v>458.0</v>
      </c>
      <c r="E218" s="60" t="s">
        <v>28</v>
      </c>
      <c r="F218" s="166">
        <f>B12+B159</f>
        <v>0</v>
      </c>
      <c r="G218" s="70"/>
      <c r="H218" s="70"/>
    </row>
    <row r="219">
      <c r="A219" s="107" t="s">
        <v>76</v>
      </c>
      <c r="B219" s="270">
        <v>236.0</v>
      </c>
      <c r="E219" s="60" t="s">
        <v>29</v>
      </c>
      <c r="F219" s="166">
        <f>B13+B56+B93+B121+B160+B186</f>
        <v>2687046</v>
      </c>
      <c r="G219" s="70"/>
      <c r="H219" s="70"/>
    </row>
    <row r="220">
      <c r="A220" s="107" t="s">
        <v>95</v>
      </c>
      <c r="B220" s="270">
        <v>324.0</v>
      </c>
      <c r="E220" s="60" t="s">
        <v>31</v>
      </c>
      <c r="F220" s="166">
        <f>B15+B57+B94+B161</f>
        <v>79603.19</v>
      </c>
      <c r="G220" s="70"/>
      <c r="H220" s="70"/>
    </row>
    <row r="221">
      <c r="A221" s="107" t="s">
        <v>96</v>
      </c>
      <c r="B221" s="270">
        <v>2.0</v>
      </c>
      <c r="E221" s="60" t="s">
        <v>32</v>
      </c>
      <c r="F221" s="166">
        <f>B162+B16</f>
        <v>18926.61</v>
      </c>
      <c r="G221" s="70"/>
      <c r="H221" s="70"/>
    </row>
    <row r="222">
      <c r="A222" s="267" t="s">
        <v>97</v>
      </c>
      <c r="B222" s="272">
        <f>SUM(B223:B229)</f>
        <v>13746617.41</v>
      </c>
      <c r="E222" s="60" t="s">
        <v>33</v>
      </c>
      <c r="F222" s="166">
        <f>B17+B58+B96+B163+B187</f>
        <v>2178853.13</v>
      </c>
      <c r="G222" s="70"/>
      <c r="H222" s="70"/>
    </row>
    <row r="223">
      <c r="A223" s="107" t="s">
        <v>92</v>
      </c>
      <c r="B223" s="109">
        <v>8617401.489999998</v>
      </c>
      <c r="E223" s="60" t="s">
        <v>131</v>
      </c>
      <c r="F223" s="166">
        <f>B19+B59+B97+B164</f>
        <v>65947.38</v>
      </c>
      <c r="G223" s="70"/>
      <c r="H223" s="70"/>
    </row>
    <row r="224">
      <c r="A224" s="107" t="s">
        <v>48</v>
      </c>
      <c r="B224" s="109">
        <v>4015666.9200000004</v>
      </c>
      <c r="E224" s="60" t="s">
        <v>54</v>
      </c>
      <c r="F224" s="166">
        <f>B20+B21+B22+B23+B60+B67+B68+B92+B165</f>
        <v>500030.55</v>
      </c>
      <c r="G224" s="70"/>
      <c r="H224" s="70"/>
    </row>
    <row r="225">
      <c r="A225" s="107" t="s">
        <v>64</v>
      </c>
      <c r="B225" s="109">
        <v>256754.0</v>
      </c>
      <c r="E225" s="60" t="s">
        <v>93</v>
      </c>
      <c r="F225" s="166">
        <f>B5+B7+B10+B11+B14+B18+B24+B25+B26+B27+B28+B29+B30+B31+B32+B33+B34+B61+B62+B63+B64+B65+B66+B98+B99+B100+B101+B166+B167+B168+B169+B170</f>
        <v>547524.09</v>
      </c>
      <c r="G225" s="70"/>
      <c r="H225" s="70"/>
    </row>
    <row r="226">
      <c r="A226" s="107" t="s">
        <v>70</v>
      </c>
      <c r="B226" s="109">
        <v>424052.0</v>
      </c>
      <c r="E226" s="60" t="s">
        <v>94</v>
      </c>
      <c r="F226" s="166">
        <f>B95</f>
        <v>496</v>
      </c>
      <c r="G226" s="70"/>
      <c r="H226" s="70"/>
    </row>
    <row r="227">
      <c r="A227" s="107" t="s">
        <v>76</v>
      </c>
      <c r="B227" s="109">
        <v>283494.0</v>
      </c>
      <c r="E227" s="70"/>
      <c r="F227" s="70"/>
      <c r="G227" s="70"/>
      <c r="H227" s="70"/>
    </row>
    <row r="228">
      <c r="A228" s="107" t="s">
        <v>95</v>
      </c>
      <c r="B228" s="109">
        <v>147249.0</v>
      </c>
      <c r="E228" s="70"/>
      <c r="F228" s="70"/>
      <c r="G228" s="70"/>
      <c r="H228" s="70"/>
    </row>
    <row r="229">
      <c r="A229" s="107" t="s">
        <v>96</v>
      </c>
      <c r="B229" s="109">
        <v>2000.0</v>
      </c>
      <c r="E229" s="70"/>
      <c r="F229" s="70"/>
      <c r="G229" s="70"/>
      <c r="H229" s="70"/>
    </row>
    <row r="230">
      <c r="A230" s="267" t="s">
        <v>98</v>
      </c>
      <c r="B230" s="272">
        <f>SUM(B231:B237)</f>
        <v>11953580.36</v>
      </c>
      <c r="E230" s="70"/>
      <c r="F230" s="70"/>
      <c r="G230" s="70"/>
      <c r="H230" s="70"/>
    </row>
    <row r="231">
      <c r="A231" s="107" t="s">
        <v>92</v>
      </c>
      <c r="B231" s="274">
        <f t="shared" ref="B231:B237" si="79">B223/1.15</f>
        <v>7493392.6</v>
      </c>
      <c r="E231" s="70"/>
      <c r="F231" s="70"/>
      <c r="G231" s="70"/>
      <c r="H231" s="70"/>
    </row>
    <row r="232">
      <c r="A232" s="107" t="s">
        <v>48</v>
      </c>
      <c r="B232" s="274">
        <f t="shared" si="79"/>
        <v>3491884.278</v>
      </c>
      <c r="E232" s="70"/>
      <c r="F232" s="70"/>
      <c r="G232" s="70"/>
      <c r="H232" s="70"/>
    </row>
    <row r="233">
      <c r="A233" s="107" t="s">
        <v>64</v>
      </c>
      <c r="B233" s="274">
        <f t="shared" si="79"/>
        <v>223264.3478</v>
      </c>
      <c r="E233" s="70"/>
      <c r="F233" s="70"/>
      <c r="G233" s="70"/>
      <c r="H233" s="70"/>
    </row>
    <row r="234">
      <c r="A234" s="107" t="s">
        <v>70</v>
      </c>
      <c r="B234" s="274">
        <f t="shared" si="79"/>
        <v>368740.8696</v>
      </c>
      <c r="E234" s="70"/>
      <c r="F234" s="70"/>
      <c r="G234" s="70"/>
      <c r="H234" s="70"/>
    </row>
    <row r="235">
      <c r="A235" s="107" t="s">
        <v>76</v>
      </c>
      <c r="B235" s="274">
        <f t="shared" si="79"/>
        <v>246516.5217</v>
      </c>
      <c r="E235" s="70"/>
      <c r="F235" s="70"/>
      <c r="G235" s="70"/>
      <c r="H235" s="70"/>
    </row>
    <row r="236">
      <c r="A236" s="107" t="s">
        <v>95</v>
      </c>
      <c r="B236" s="274">
        <f t="shared" si="79"/>
        <v>128042.6087</v>
      </c>
      <c r="E236" s="70"/>
      <c r="F236" s="70"/>
      <c r="G236" s="70"/>
      <c r="H236" s="70"/>
    </row>
    <row r="237">
      <c r="A237" s="107" t="s">
        <v>96</v>
      </c>
      <c r="B237" s="274">
        <f t="shared" si="79"/>
        <v>1739.130435</v>
      </c>
      <c r="E237" s="70"/>
      <c r="F237" s="70"/>
      <c r="G237" s="70"/>
      <c r="H237" s="70"/>
    </row>
    <row r="238">
      <c r="A238" s="297" t="s">
        <v>41</v>
      </c>
      <c r="B238" s="298">
        <f>B200/1.18</f>
        <v>4211767.797</v>
      </c>
      <c r="E238" s="70"/>
      <c r="F238" s="70"/>
      <c r="G238" s="70"/>
      <c r="H238" s="70"/>
    </row>
    <row r="239">
      <c r="A239" s="90" t="s">
        <v>80</v>
      </c>
      <c r="B239" s="97">
        <f>B230-B238</f>
        <v>7741812.56</v>
      </c>
      <c r="E239" s="70"/>
      <c r="F239" s="70"/>
      <c r="G239" s="70"/>
      <c r="H239" s="70"/>
    </row>
    <row r="240">
      <c r="A240" s="92" t="s">
        <v>99</v>
      </c>
      <c r="B240" s="98">
        <f>B239/B230</f>
        <v>0.6476563782</v>
      </c>
      <c r="E240" s="70"/>
      <c r="F240" s="70"/>
      <c r="G240" s="70"/>
      <c r="H240" s="70"/>
    </row>
    <row r="241">
      <c r="A241" s="99" t="s">
        <v>100</v>
      </c>
      <c r="B241" s="100">
        <f>B42+B75+B127+B146+B175</f>
        <v>1197418</v>
      </c>
      <c r="E241" s="70"/>
      <c r="F241" s="70"/>
      <c r="G241" s="70"/>
      <c r="H241" s="70"/>
    </row>
    <row r="242">
      <c r="A242" s="99" t="s">
        <v>101</v>
      </c>
      <c r="B242" s="100">
        <f>B74</f>
        <v>337890</v>
      </c>
      <c r="E242" s="70"/>
      <c r="F242" s="70"/>
      <c r="G242" s="70"/>
      <c r="H242" s="70"/>
    </row>
    <row r="243">
      <c r="A243" s="101" t="s">
        <v>102</v>
      </c>
      <c r="B243" s="95">
        <f>B239-(B241+B242)</f>
        <v>6206504.56</v>
      </c>
      <c r="E243" s="70"/>
      <c r="F243" s="70"/>
      <c r="G243" s="70"/>
      <c r="H243" s="70"/>
    </row>
    <row r="244">
      <c r="A244" s="92" t="s">
        <v>103</v>
      </c>
      <c r="B244" s="98">
        <f>B243/B230</f>
        <v>0.5192172031</v>
      </c>
      <c r="E244" s="70"/>
      <c r="F244" s="70"/>
      <c r="G244" s="70"/>
      <c r="H244" s="70"/>
    </row>
    <row r="245">
      <c r="A245" s="28" t="s">
        <v>104</v>
      </c>
      <c r="B245" s="95">
        <f>B204/1.18</f>
        <v>4978660.746</v>
      </c>
      <c r="E245" s="70"/>
      <c r="F245" s="70"/>
      <c r="G245" s="70"/>
      <c r="H245" s="70"/>
    </row>
    <row r="246">
      <c r="A246" s="101" t="s">
        <v>105</v>
      </c>
      <c r="B246" s="95">
        <f>B243-B245</f>
        <v>1227843.814</v>
      </c>
      <c r="E246" s="70"/>
      <c r="F246" s="70"/>
      <c r="G246" s="70"/>
      <c r="H246" s="70"/>
    </row>
    <row r="247">
      <c r="A247" s="92" t="s">
        <v>106</v>
      </c>
      <c r="B247" s="102">
        <f>B246/B230</f>
        <v>0.1027176609</v>
      </c>
      <c r="E247" s="70"/>
      <c r="F247" s="70"/>
      <c r="G247" s="70"/>
      <c r="H247" s="70"/>
    </row>
    <row r="248">
      <c r="A248" s="28" t="s">
        <v>107</v>
      </c>
      <c r="B248" s="28">
        <v>550000.0</v>
      </c>
      <c r="E248" s="70"/>
      <c r="F248" s="70"/>
      <c r="G248" s="70"/>
      <c r="H248" s="70"/>
    </row>
    <row r="249">
      <c r="A249" s="28" t="s">
        <v>108</v>
      </c>
      <c r="B249" s="28">
        <v>380000.0</v>
      </c>
      <c r="E249" s="70"/>
      <c r="F249" s="70"/>
      <c r="G249" s="70"/>
      <c r="H249" s="70"/>
    </row>
    <row r="250">
      <c r="A250" s="28" t="s">
        <v>109</v>
      </c>
      <c r="B250" s="28">
        <v>80000.0</v>
      </c>
      <c r="E250" s="70"/>
      <c r="F250" s="70"/>
      <c r="G250" s="70"/>
      <c r="H250" s="70"/>
    </row>
    <row r="251">
      <c r="A251" s="28" t="s">
        <v>110</v>
      </c>
      <c r="B251" s="28">
        <v>18000.0</v>
      </c>
      <c r="E251" s="70"/>
      <c r="F251" s="70"/>
      <c r="G251" s="70"/>
      <c r="H251" s="70"/>
    </row>
    <row r="252">
      <c r="A252" s="28" t="s">
        <v>111</v>
      </c>
      <c r="B252" s="28">
        <v>60000.0</v>
      </c>
      <c r="E252" s="70"/>
      <c r="F252" s="70"/>
      <c r="G252" s="70"/>
      <c r="H252" s="70"/>
    </row>
    <row r="253">
      <c r="A253" s="101" t="s">
        <v>112</v>
      </c>
      <c r="B253" s="95">
        <f>B246-SUM(B248:B252)</f>
        <v>139843.8141</v>
      </c>
      <c r="E253" s="70"/>
      <c r="F253" s="70"/>
      <c r="G253" s="70"/>
      <c r="H253" s="70"/>
    </row>
    <row r="254">
      <c r="A254" s="92" t="s">
        <v>113</v>
      </c>
      <c r="B254" s="102">
        <f>B253/B230</f>
        <v>0.0116989061</v>
      </c>
      <c r="E254" s="70"/>
      <c r="F254" s="70"/>
      <c r="G254" s="70"/>
      <c r="H254" s="70"/>
    </row>
    <row r="255">
      <c r="A255" s="299"/>
      <c r="B255" s="300"/>
      <c r="E255" s="70"/>
      <c r="F255" s="70"/>
      <c r="G255" s="70"/>
      <c r="H255" s="70"/>
    </row>
    <row r="256">
      <c r="A256" s="299"/>
      <c r="B256" s="300"/>
      <c r="E256" s="70"/>
      <c r="F256" s="70"/>
      <c r="G256" s="70"/>
      <c r="H256" s="70"/>
    </row>
    <row r="257">
      <c r="A257" s="299"/>
      <c r="B257" s="300"/>
      <c r="E257" s="70"/>
      <c r="F257" s="70"/>
      <c r="G257" s="70"/>
      <c r="H257" s="70"/>
    </row>
    <row r="258">
      <c r="A258" s="299"/>
      <c r="B258" s="300"/>
      <c r="E258" s="70"/>
      <c r="F258" s="70"/>
      <c r="G258" s="70"/>
      <c r="H258" s="70"/>
    </row>
    <row r="259">
      <c r="A259" s="299"/>
      <c r="B259" s="300"/>
      <c r="E259" s="70"/>
      <c r="F259" s="70">
        <v>1.0</v>
      </c>
      <c r="G259" s="70"/>
      <c r="H259" s="70"/>
    </row>
    <row r="260">
      <c r="A260" s="299"/>
      <c r="B260" s="300"/>
      <c r="E260" s="70"/>
      <c r="F260" s="70"/>
      <c r="G260" s="70"/>
      <c r="H260" s="70"/>
    </row>
    <row r="261">
      <c r="A261" s="299"/>
      <c r="B261" s="300"/>
      <c r="E261" s="70"/>
      <c r="F261" s="70"/>
      <c r="G261" s="70"/>
      <c r="H261" s="70"/>
    </row>
    <row r="262">
      <c r="A262" s="301"/>
      <c r="B262" s="301"/>
      <c r="E262" s="70"/>
      <c r="F262" s="70"/>
      <c r="G262" s="70"/>
      <c r="H262" s="70"/>
    </row>
    <row r="263">
      <c r="A263" s="299"/>
      <c r="B263" s="70"/>
      <c r="E263" s="70"/>
      <c r="F263" s="70"/>
      <c r="G263" s="70"/>
      <c r="H263" s="70"/>
    </row>
    <row r="264">
      <c r="A264" s="301"/>
      <c r="B264" s="301"/>
      <c r="E264" s="70"/>
      <c r="F264" s="70"/>
      <c r="G264" s="70"/>
      <c r="H264" s="70"/>
    </row>
    <row r="265">
      <c r="A265" s="301"/>
      <c r="B265" s="302"/>
      <c r="E265" s="70"/>
      <c r="F265" s="70"/>
      <c r="G265" s="70"/>
      <c r="H265" s="70"/>
    </row>
    <row r="266">
      <c r="A266" s="299"/>
      <c r="B266" s="169"/>
      <c r="E266" s="70"/>
      <c r="F266" s="70"/>
      <c r="G266" s="70"/>
      <c r="H266" s="70"/>
    </row>
    <row r="267">
      <c r="A267" s="301"/>
      <c r="B267" s="301"/>
      <c r="E267" s="70"/>
      <c r="F267" s="70"/>
      <c r="G267" s="70"/>
      <c r="H267" s="70"/>
    </row>
    <row r="268">
      <c r="A268" s="301"/>
      <c r="B268" s="303"/>
      <c r="E268" s="70"/>
      <c r="F268" s="70"/>
      <c r="G268" s="70"/>
      <c r="H268" s="70"/>
    </row>
    <row r="269">
      <c r="A269" s="70"/>
      <c r="B269" s="70"/>
      <c r="E269" s="70"/>
      <c r="F269" s="70"/>
      <c r="G269" s="70"/>
      <c r="H269" s="70"/>
    </row>
    <row r="270">
      <c r="A270" s="301"/>
      <c r="B270" s="70"/>
      <c r="E270" s="70"/>
      <c r="F270" s="70"/>
      <c r="G270" s="70"/>
      <c r="H270" s="70"/>
    </row>
    <row r="271">
      <c r="A271" s="301"/>
      <c r="B271" s="303"/>
      <c r="E271" s="70"/>
      <c r="F271" s="70"/>
      <c r="G271" s="70"/>
      <c r="H271" s="70"/>
    </row>
    <row r="272">
      <c r="A272" s="70"/>
      <c r="B272" s="70"/>
      <c r="E272" s="70"/>
      <c r="F272" s="70"/>
      <c r="G272" s="70"/>
      <c r="H272" s="70"/>
    </row>
    <row r="273">
      <c r="A273" s="70"/>
      <c r="B273" s="70"/>
      <c r="E273" s="70"/>
      <c r="F273" s="70"/>
      <c r="G273" s="70"/>
      <c r="H273" s="70"/>
    </row>
    <row r="274">
      <c r="E274" s="70"/>
      <c r="F274" s="70"/>
      <c r="G274" s="70"/>
      <c r="H274" s="70"/>
    </row>
    <row r="275">
      <c r="E275" s="70"/>
      <c r="F275" s="70"/>
      <c r="G275" s="70"/>
      <c r="H275" s="70"/>
    </row>
    <row r="276">
      <c r="E276" s="70"/>
      <c r="F276" s="70"/>
      <c r="G276" s="70"/>
      <c r="H276" s="70"/>
    </row>
    <row r="277">
      <c r="E277" s="70"/>
      <c r="F277" s="70"/>
      <c r="G277" s="70"/>
      <c r="H277" s="70"/>
    </row>
    <row r="278">
      <c r="E278" s="70"/>
      <c r="F278" s="70"/>
      <c r="G278" s="70"/>
      <c r="H278" s="70"/>
    </row>
    <row r="279">
      <c r="A279" s="266" t="s">
        <v>167</v>
      </c>
      <c r="E279" s="70"/>
      <c r="F279" s="70"/>
      <c r="G279" s="70"/>
      <c r="H279" s="70"/>
    </row>
    <row r="280">
      <c r="A280" s="140" t="s">
        <v>122</v>
      </c>
      <c r="B280" s="140" t="s">
        <v>123</v>
      </c>
      <c r="C280" s="141" t="s">
        <v>159</v>
      </c>
      <c r="D280" s="141" t="s">
        <v>124</v>
      </c>
      <c r="E280" s="70"/>
      <c r="F280" s="70"/>
      <c r="G280" s="70"/>
      <c r="H280" s="70"/>
    </row>
    <row r="281">
      <c r="A281" s="142" t="s">
        <v>125</v>
      </c>
      <c r="B281" s="143">
        <f>B40</f>
        <v>8617401.49</v>
      </c>
      <c r="C281" s="238">
        <f>K35</f>
        <v>8310</v>
      </c>
      <c r="D281" s="144">
        <f t="shared" ref="D281:D286" si="80">C281/$C$287</f>
        <v>0.5566347378</v>
      </c>
      <c r="E281" s="70"/>
      <c r="F281" s="70"/>
      <c r="G281" s="70"/>
      <c r="H281" s="70"/>
    </row>
    <row r="282">
      <c r="A282" s="142" t="s">
        <v>48</v>
      </c>
      <c r="B282" s="143">
        <f>B72</f>
        <v>4015666.92</v>
      </c>
      <c r="C282" s="238">
        <f>I69</f>
        <v>4949</v>
      </c>
      <c r="D282" s="144">
        <f t="shared" si="80"/>
        <v>0.3315024449</v>
      </c>
      <c r="E282" s="70"/>
      <c r="F282" s="70"/>
      <c r="G282" s="70"/>
      <c r="H282" s="70"/>
    </row>
    <row r="283">
      <c r="A283" s="142" t="s">
        <v>70</v>
      </c>
      <c r="B283" s="143">
        <f>B122</f>
        <v>424052</v>
      </c>
      <c r="C283" s="238">
        <f>H122</f>
        <v>652</v>
      </c>
      <c r="D283" s="144">
        <f t="shared" si="80"/>
        <v>0.04367338737</v>
      </c>
      <c r="E283" s="70"/>
      <c r="F283" s="70"/>
      <c r="G283" s="70"/>
      <c r="H283" s="70"/>
    </row>
    <row r="284">
      <c r="A284" s="142" t="s">
        <v>76</v>
      </c>
      <c r="B284" s="143">
        <f>B142</f>
        <v>283494</v>
      </c>
      <c r="C284" s="238">
        <f>H142</f>
        <v>458</v>
      </c>
      <c r="D284" s="144">
        <f t="shared" si="80"/>
        <v>0.03067854511</v>
      </c>
    </row>
    <row r="285">
      <c r="A285" s="142" t="s">
        <v>78</v>
      </c>
      <c r="B285" s="143">
        <f>B173</f>
        <v>147249</v>
      </c>
      <c r="C285" s="238">
        <f>H171</f>
        <v>236</v>
      </c>
      <c r="D285" s="144">
        <f t="shared" si="80"/>
        <v>0.01580815862</v>
      </c>
      <c r="E285" s="70"/>
      <c r="F285" s="70"/>
      <c r="G285" s="70"/>
      <c r="H285" s="70"/>
    </row>
    <row r="286">
      <c r="A286" s="142" t="s">
        <v>64</v>
      </c>
      <c r="B286" s="143">
        <f>B105</f>
        <v>256754</v>
      </c>
      <c r="C286" s="238">
        <f>I102</f>
        <v>324</v>
      </c>
      <c r="D286" s="144">
        <f t="shared" si="80"/>
        <v>0.02170272624</v>
      </c>
    </row>
    <row r="287">
      <c r="A287" s="145" t="s">
        <v>38</v>
      </c>
      <c r="B287" s="146">
        <f t="shared" ref="B287:C287" si="81">SUM(B281:B286)</f>
        <v>13744617.41</v>
      </c>
      <c r="C287" s="239">
        <f t="shared" si="81"/>
        <v>14929</v>
      </c>
      <c r="D287" s="192">
        <v>1.0</v>
      </c>
    </row>
    <row r="292">
      <c r="A292" s="70"/>
      <c r="B292" s="70"/>
      <c r="C292" s="70"/>
      <c r="D292" s="70"/>
    </row>
    <row r="293">
      <c r="A293" s="70"/>
      <c r="B293" s="70"/>
      <c r="C293" s="70"/>
      <c r="D293" s="70"/>
    </row>
    <row r="294">
      <c r="A294" s="70"/>
      <c r="B294" s="70"/>
      <c r="C294" s="70"/>
      <c r="D294" s="70"/>
    </row>
    <row r="295">
      <c r="A295" s="129"/>
      <c r="B295" s="129"/>
      <c r="C295" s="129"/>
      <c r="D295" s="70"/>
    </row>
    <row r="296">
      <c r="A296" s="70"/>
      <c r="B296" s="70"/>
      <c r="C296" s="148"/>
      <c r="D296" s="70"/>
    </row>
    <row r="297">
      <c r="A297" s="70"/>
      <c r="B297" s="70"/>
      <c r="C297" s="148"/>
      <c r="D297" s="70"/>
    </row>
    <row r="298">
      <c r="A298" s="70"/>
      <c r="B298" s="70"/>
      <c r="C298" s="148"/>
      <c r="D298" s="70"/>
    </row>
    <row r="299">
      <c r="A299" s="70"/>
      <c r="B299" s="70"/>
      <c r="C299" s="148"/>
      <c r="D299" s="70"/>
    </row>
    <row r="300">
      <c r="A300" s="70"/>
      <c r="B300" s="70"/>
      <c r="C300" s="148"/>
      <c r="D300" s="70"/>
    </row>
    <row r="301">
      <c r="A301" s="70"/>
      <c r="B301" s="70"/>
      <c r="C301" s="148"/>
      <c r="D301" s="70"/>
    </row>
    <row r="302">
      <c r="A302" s="70"/>
      <c r="B302" s="70"/>
      <c r="C302" s="148"/>
      <c r="D302" s="70"/>
    </row>
    <row r="303">
      <c r="A303" s="70"/>
      <c r="B303" s="70"/>
      <c r="C303" s="148"/>
      <c r="D303" s="70"/>
    </row>
    <row r="304">
      <c r="A304" s="129"/>
      <c r="B304" s="129"/>
      <c r="C304" s="149"/>
      <c r="D304" s="70"/>
    </row>
    <row r="305">
      <c r="A305" s="70"/>
      <c r="B305" s="70"/>
      <c r="C305" s="70"/>
      <c r="D305" s="70"/>
    </row>
    <row r="306">
      <c r="A306" s="70"/>
      <c r="B306" s="70"/>
      <c r="C306" s="70"/>
      <c r="D306" s="70"/>
    </row>
    <row r="307">
      <c r="A307" s="70"/>
      <c r="B307" s="70"/>
      <c r="C307" s="70"/>
      <c r="D307" s="70"/>
    </row>
    <row r="308">
      <c r="A308" s="70"/>
      <c r="B308" s="70"/>
      <c r="C308" s="70"/>
      <c r="D308" s="7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3.63"/>
    <col customWidth="1" min="5" max="5" width="12.88"/>
    <col customWidth="1" min="6" max="6" width="15.13"/>
    <col customWidth="1" min="9" max="9" width="14.63"/>
    <col customWidth="1" min="11" max="12" width="15.0"/>
    <col customWidth="1" min="14" max="14" width="13.75"/>
    <col customWidth="1" min="16" max="16" width="15.13"/>
    <col customWidth="1" min="17" max="17" width="11.38"/>
  </cols>
  <sheetData>
    <row r="1">
      <c r="A1" s="1" t="s">
        <v>176</v>
      </c>
      <c r="B1" s="19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/>
      <c r="B2" s="19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>
      <c r="A3" s="5" t="s">
        <v>2</v>
      </c>
      <c r="B3" s="196" t="s">
        <v>177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>
      <c r="A4" s="5" t="s">
        <v>21</v>
      </c>
      <c r="B4" s="197">
        <v>1261476.76</v>
      </c>
      <c r="C4" s="9">
        <f t="shared" ref="C4:C11" si="1">G4+J4+L4</f>
        <v>476693</v>
      </c>
      <c r="D4" s="240"/>
      <c r="E4" s="11">
        <f t="shared" ref="E4:E11" si="2">D4/B4*100</f>
        <v>0</v>
      </c>
      <c r="F4" s="12">
        <f t="shared" ref="F4:F11" si="3">D4/K4</f>
        <v>0</v>
      </c>
      <c r="G4" s="13"/>
      <c r="H4" s="8">
        <v>1616.0</v>
      </c>
      <c r="I4" s="8">
        <v>1601.0</v>
      </c>
      <c r="J4" s="14">
        <f t="shared" ref="J4:J11" si="4">K4*T4</f>
        <v>327800</v>
      </c>
      <c r="K4" s="8">
        <v>1490.0</v>
      </c>
      <c r="L4" s="15">
        <f t="shared" ref="L4:L34" si="5">I4*93</f>
        <v>148893</v>
      </c>
      <c r="M4" s="16">
        <f t="shared" ref="M4:M34" si="6">I4-K4-N4</f>
        <v>107</v>
      </c>
      <c r="N4" s="8">
        <v>4.0</v>
      </c>
      <c r="O4" s="17">
        <f t="shared" ref="O4:O34" si="7">IFERROR(M4/I4*100,0)</f>
        <v>6.683322923</v>
      </c>
      <c r="P4" s="18">
        <f t="shared" ref="P4:P19" si="8">I4/H4*100</f>
        <v>99.07178218</v>
      </c>
      <c r="Q4" s="19">
        <f t="shared" ref="Q4:Q19" si="9">K4/I4*100</f>
        <v>93.06683323</v>
      </c>
      <c r="R4" s="12">
        <f t="shared" ref="R4:R11" si="10">G4/K4</f>
        <v>0</v>
      </c>
      <c r="S4" s="198">
        <f t="shared" ref="S4:S35" si="11">(I4-H4)/H4</f>
        <v>-0.009282178218</v>
      </c>
      <c r="T4" s="65">
        <v>220.0</v>
      </c>
      <c r="U4" s="3"/>
      <c r="V4" s="3"/>
      <c r="W4" s="241"/>
      <c r="X4" s="242"/>
      <c r="Y4" s="3"/>
      <c r="Z4" s="3"/>
      <c r="AA4" s="3"/>
      <c r="AB4" s="3"/>
      <c r="AC4" s="3"/>
      <c r="AD4" s="3"/>
      <c r="AE4" s="3"/>
    </row>
    <row r="5">
      <c r="A5" s="5" t="s">
        <v>22</v>
      </c>
      <c r="B5" s="197">
        <v>43047.62</v>
      </c>
      <c r="C5" s="9">
        <f t="shared" si="1"/>
        <v>15296</v>
      </c>
      <c r="D5" s="240"/>
      <c r="E5" s="11">
        <f t="shared" si="2"/>
        <v>0</v>
      </c>
      <c r="F5" s="12">
        <f t="shared" si="3"/>
        <v>0</v>
      </c>
      <c r="G5" s="13"/>
      <c r="H5" s="8">
        <v>32.0</v>
      </c>
      <c r="I5" s="8">
        <v>32.0</v>
      </c>
      <c r="J5" s="14">
        <f t="shared" si="4"/>
        <v>12320</v>
      </c>
      <c r="K5" s="8">
        <v>28.0</v>
      </c>
      <c r="L5" s="15">
        <f t="shared" si="5"/>
        <v>2976</v>
      </c>
      <c r="M5" s="16">
        <f t="shared" si="6"/>
        <v>4</v>
      </c>
      <c r="N5" s="13"/>
      <c r="O5" s="17">
        <f t="shared" si="7"/>
        <v>12.5</v>
      </c>
      <c r="P5" s="18">
        <f t="shared" si="8"/>
        <v>100</v>
      </c>
      <c r="Q5" s="19">
        <f t="shared" si="9"/>
        <v>87.5</v>
      </c>
      <c r="R5" s="12">
        <f t="shared" si="10"/>
        <v>0</v>
      </c>
      <c r="S5" s="198">
        <f t="shared" si="11"/>
        <v>0</v>
      </c>
      <c r="T5" s="65">
        <v>440.0</v>
      </c>
      <c r="U5" s="3"/>
      <c r="V5" s="3"/>
      <c r="W5" s="156"/>
      <c r="X5" s="41"/>
      <c r="Y5" s="3"/>
      <c r="Z5" s="3"/>
      <c r="AA5" s="3"/>
      <c r="AB5" s="3"/>
      <c r="AC5" s="3"/>
      <c r="AD5" s="3"/>
      <c r="AE5" s="3"/>
    </row>
    <row r="6">
      <c r="A6" s="5" t="s">
        <v>23</v>
      </c>
      <c r="B6" s="197">
        <v>1187763.36</v>
      </c>
      <c r="C6" s="21">
        <f t="shared" si="1"/>
        <v>460335</v>
      </c>
      <c r="D6" s="243"/>
      <c r="E6" s="11">
        <f t="shared" si="2"/>
        <v>0</v>
      </c>
      <c r="F6" s="12">
        <f t="shared" si="3"/>
        <v>0</v>
      </c>
      <c r="G6" s="23"/>
      <c r="H6" s="8">
        <v>1260.0</v>
      </c>
      <c r="I6" s="8">
        <v>1243.0</v>
      </c>
      <c r="J6" s="14">
        <f t="shared" si="4"/>
        <v>344736</v>
      </c>
      <c r="K6" s="8">
        <v>1134.0</v>
      </c>
      <c r="L6" s="15">
        <f t="shared" si="5"/>
        <v>115599</v>
      </c>
      <c r="M6" s="16">
        <f t="shared" si="6"/>
        <v>105</v>
      </c>
      <c r="N6" s="8">
        <v>4.0</v>
      </c>
      <c r="O6" s="17">
        <f t="shared" si="7"/>
        <v>8.447304907</v>
      </c>
      <c r="P6" s="18">
        <f t="shared" si="8"/>
        <v>98.65079365</v>
      </c>
      <c r="Q6" s="19">
        <f t="shared" si="9"/>
        <v>91.230893</v>
      </c>
      <c r="R6" s="12">
        <f t="shared" si="10"/>
        <v>0</v>
      </c>
      <c r="S6" s="198">
        <f t="shared" si="11"/>
        <v>-0.01349206349</v>
      </c>
      <c r="T6" s="65">
        <v>304.0</v>
      </c>
      <c r="U6" s="3"/>
      <c r="V6" s="3"/>
      <c r="W6" s="156"/>
      <c r="X6" s="41"/>
      <c r="Y6" s="3"/>
      <c r="Z6" s="3"/>
      <c r="AA6" s="3"/>
      <c r="AB6" s="3"/>
      <c r="AC6" s="3"/>
      <c r="AD6" s="3"/>
      <c r="AE6" s="3"/>
    </row>
    <row r="7">
      <c r="A7" s="5" t="s">
        <v>24</v>
      </c>
      <c r="B7" s="197">
        <v>40108.74</v>
      </c>
      <c r="C7" s="21">
        <f t="shared" si="1"/>
        <v>14020</v>
      </c>
      <c r="D7" s="243"/>
      <c r="E7" s="11">
        <f t="shared" si="2"/>
        <v>0</v>
      </c>
      <c r="F7" s="12">
        <f t="shared" si="3"/>
        <v>0</v>
      </c>
      <c r="G7" s="23"/>
      <c r="H7" s="8">
        <v>21.0</v>
      </c>
      <c r="I7" s="8">
        <v>20.0</v>
      </c>
      <c r="J7" s="14">
        <f t="shared" si="4"/>
        <v>12160</v>
      </c>
      <c r="K7" s="8">
        <v>20.0</v>
      </c>
      <c r="L7" s="15">
        <f t="shared" si="5"/>
        <v>1860</v>
      </c>
      <c r="M7" s="16">
        <f t="shared" si="6"/>
        <v>-2</v>
      </c>
      <c r="N7" s="8">
        <v>2.0</v>
      </c>
      <c r="O7" s="17">
        <f t="shared" si="7"/>
        <v>-10</v>
      </c>
      <c r="P7" s="18">
        <f t="shared" si="8"/>
        <v>95.23809524</v>
      </c>
      <c r="Q7" s="19">
        <f t="shared" si="9"/>
        <v>100</v>
      </c>
      <c r="R7" s="12">
        <f t="shared" si="10"/>
        <v>0</v>
      </c>
      <c r="S7" s="198">
        <f t="shared" si="11"/>
        <v>-0.04761904762</v>
      </c>
      <c r="T7" s="65">
        <v>608.0</v>
      </c>
      <c r="U7" s="3"/>
      <c r="V7" s="3"/>
      <c r="W7" s="156"/>
      <c r="X7" s="41"/>
      <c r="Y7" s="3"/>
      <c r="Z7" s="3"/>
      <c r="AA7" s="3"/>
      <c r="AB7" s="3"/>
      <c r="AC7" s="3"/>
      <c r="AD7" s="3"/>
      <c r="AE7" s="3"/>
    </row>
    <row r="8">
      <c r="A8" s="5" t="s">
        <v>25</v>
      </c>
      <c r="B8" s="197">
        <v>286681.15</v>
      </c>
      <c r="C8" s="9">
        <f t="shared" si="1"/>
        <v>153615</v>
      </c>
      <c r="D8" s="240"/>
      <c r="E8" s="11">
        <f t="shared" si="2"/>
        <v>0</v>
      </c>
      <c r="F8" s="12">
        <f t="shared" si="3"/>
        <v>0</v>
      </c>
      <c r="G8" s="13"/>
      <c r="H8" s="8">
        <v>228.0</v>
      </c>
      <c r="I8" s="8">
        <v>221.0</v>
      </c>
      <c r="J8" s="14">
        <f t="shared" si="4"/>
        <v>133062</v>
      </c>
      <c r="K8" s="8">
        <v>201.0</v>
      </c>
      <c r="L8" s="15">
        <f t="shared" si="5"/>
        <v>20553</v>
      </c>
      <c r="M8" s="16">
        <f t="shared" si="6"/>
        <v>20</v>
      </c>
      <c r="N8" s="13"/>
      <c r="O8" s="17">
        <f t="shared" si="7"/>
        <v>9.049773756</v>
      </c>
      <c r="P8" s="18">
        <f t="shared" si="8"/>
        <v>96.92982456</v>
      </c>
      <c r="Q8" s="19">
        <f t="shared" si="9"/>
        <v>90.95022624</v>
      </c>
      <c r="R8" s="12">
        <f t="shared" si="10"/>
        <v>0</v>
      </c>
      <c r="S8" s="198">
        <f t="shared" si="11"/>
        <v>-0.03070175439</v>
      </c>
      <c r="T8" s="65">
        <v>662.0</v>
      </c>
      <c r="U8" s="3"/>
      <c r="V8" s="3"/>
      <c r="W8" s="156"/>
      <c r="X8" s="41"/>
      <c r="Y8" s="3"/>
      <c r="Z8" s="3"/>
      <c r="AA8" s="3"/>
      <c r="AB8" s="3"/>
      <c r="AC8" s="3"/>
      <c r="AD8" s="3"/>
      <c r="AE8" s="3"/>
    </row>
    <row r="9">
      <c r="A9" s="5" t="s">
        <v>26</v>
      </c>
      <c r="B9" s="197">
        <v>118197.48</v>
      </c>
      <c r="C9" s="9">
        <f t="shared" si="1"/>
        <v>69355</v>
      </c>
      <c r="D9" s="240"/>
      <c r="E9" s="11">
        <f t="shared" si="2"/>
        <v>0</v>
      </c>
      <c r="F9" s="12">
        <f t="shared" si="3"/>
        <v>0</v>
      </c>
      <c r="G9" s="13"/>
      <c r="H9" s="8">
        <v>271.0</v>
      </c>
      <c r="I9" s="8">
        <v>263.0</v>
      </c>
      <c r="J9" s="14">
        <f t="shared" si="4"/>
        <v>44896</v>
      </c>
      <c r="K9" s="8">
        <v>244.0</v>
      </c>
      <c r="L9" s="15">
        <f t="shared" si="5"/>
        <v>24459</v>
      </c>
      <c r="M9" s="16">
        <f t="shared" si="6"/>
        <v>19</v>
      </c>
      <c r="N9" s="13"/>
      <c r="O9" s="17">
        <f t="shared" si="7"/>
        <v>7.224334601</v>
      </c>
      <c r="P9" s="18">
        <f t="shared" si="8"/>
        <v>97.04797048</v>
      </c>
      <c r="Q9" s="19">
        <f t="shared" si="9"/>
        <v>92.7756654</v>
      </c>
      <c r="R9" s="12">
        <f t="shared" si="10"/>
        <v>0</v>
      </c>
      <c r="S9" s="198">
        <f t="shared" si="11"/>
        <v>-0.0295202952</v>
      </c>
      <c r="T9" s="65">
        <v>184.0</v>
      </c>
      <c r="U9" s="3"/>
      <c r="V9" s="3"/>
      <c r="W9" s="156"/>
      <c r="X9" s="41"/>
      <c r="Y9" s="3"/>
      <c r="Z9" s="3"/>
      <c r="AA9" s="3"/>
      <c r="AB9" s="3"/>
      <c r="AC9" s="3"/>
      <c r="AD9" s="3"/>
      <c r="AE9" s="3"/>
    </row>
    <row r="10">
      <c r="A10" s="5" t="s">
        <v>27</v>
      </c>
      <c r="B10" s="197">
        <v>20969.46</v>
      </c>
      <c r="C10" s="9">
        <f t="shared" si="1"/>
        <v>10789</v>
      </c>
      <c r="D10" s="240"/>
      <c r="E10" s="11">
        <f t="shared" si="2"/>
        <v>0</v>
      </c>
      <c r="F10" s="12">
        <f t="shared" si="3"/>
        <v>0</v>
      </c>
      <c r="G10" s="13"/>
      <c r="H10" s="8">
        <v>26.0</v>
      </c>
      <c r="I10" s="8">
        <v>25.0</v>
      </c>
      <c r="J10" s="14">
        <f t="shared" si="4"/>
        <v>8464</v>
      </c>
      <c r="K10" s="8">
        <v>23.0</v>
      </c>
      <c r="L10" s="15">
        <f t="shared" si="5"/>
        <v>2325</v>
      </c>
      <c r="M10" s="16">
        <f t="shared" si="6"/>
        <v>2</v>
      </c>
      <c r="N10" s="13"/>
      <c r="O10" s="17">
        <f t="shared" si="7"/>
        <v>8</v>
      </c>
      <c r="P10" s="18">
        <f t="shared" si="8"/>
        <v>96.15384615</v>
      </c>
      <c r="Q10" s="19">
        <f t="shared" si="9"/>
        <v>92</v>
      </c>
      <c r="R10" s="12">
        <f t="shared" si="10"/>
        <v>0</v>
      </c>
      <c r="S10" s="198">
        <f t="shared" si="11"/>
        <v>-0.03846153846</v>
      </c>
      <c r="T10" s="65">
        <v>368.0</v>
      </c>
      <c r="U10" s="3"/>
      <c r="V10" s="3"/>
      <c r="W10" s="156"/>
      <c r="X10" s="41"/>
      <c r="Y10" s="3"/>
      <c r="Z10" s="3"/>
      <c r="AA10" s="3"/>
      <c r="AB10" s="3"/>
      <c r="AC10" s="3"/>
      <c r="AD10" s="3"/>
      <c r="AE10" s="3"/>
    </row>
    <row r="11">
      <c r="A11" s="5" t="s">
        <v>154</v>
      </c>
      <c r="B11" s="197">
        <v>0.0</v>
      </c>
      <c r="C11" s="9">
        <f t="shared" si="1"/>
        <v>0</v>
      </c>
      <c r="D11" s="240"/>
      <c r="E11" s="11" t="str">
        <f t="shared" si="2"/>
        <v>#DIV/0!</v>
      </c>
      <c r="F11" s="12" t="str">
        <f t="shared" si="3"/>
        <v>#DIV/0!</v>
      </c>
      <c r="G11" s="13"/>
      <c r="H11" s="8">
        <v>0.0</v>
      </c>
      <c r="I11" s="8">
        <v>0.0</v>
      </c>
      <c r="J11" s="14">
        <f t="shared" si="4"/>
        <v>0</v>
      </c>
      <c r="K11" s="8">
        <v>0.0</v>
      </c>
      <c r="L11" s="15">
        <f t="shared" si="5"/>
        <v>0</v>
      </c>
      <c r="M11" s="16">
        <f t="shared" si="6"/>
        <v>0</v>
      </c>
      <c r="N11" s="13"/>
      <c r="O11" s="17">
        <f t="shared" si="7"/>
        <v>0</v>
      </c>
      <c r="P11" s="18" t="str">
        <f t="shared" si="8"/>
        <v>#DIV/0!</v>
      </c>
      <c r="Q11" s="19" t="str">
        <f t="shared" si="9"/>
        <v>#DIV/0!</v>
      </c>
      <c r="R11" s="12" t="str">
        <f t="shared" si="10"/>
        <v>#DIV/0!</v>
      </c>
      <c r="S11" s="198" t="str">
        <f t="shared" si="11"/>
        <v>#DIV/0!</v>
      </c>
      <c r="T11" s="65">
        <v>368.0</v>
      </c>
      <c r="U11" s="3"/>
      <c r="V11" s="3"/>
      <c r="W11" s="156"/>
      <c r="X11" s="3"/>
      <c r="Y11" s="3"/>
      <c r="Z11" s="3"/>
      <c r="AA11" s="3"/>
      <c r="AB11" s="3"/>
      <c r="AC11" s="3"/>
      <c r="AD11" s="3"/>
      <c r="AE11" s="3"/>
    </row>
    <row r="12">
      <c r="A12" s="5" t="s">
        <v>28</v>
      </c>
      <c r="B12" s="197">
        <v>0.0</v>
      </c>
      <c r="C12" s="9">
        <v>0.0</v>
      </c>
      <c r="D12" s="240"/>
      <c r="E12" s="11">
        <v>0.0</v>
      </c>
      <c r="F12" s="12">
        <v>0.0</v>
      </c>
      <c r="G12" s="13"/>
      <c r="H12" s="8">
        <v>0.0</v>
      </c>
      <c r="I12" s="8">
        <v>0.0</v>
      </c>
      <c r="J12" s="14">
        <v>0.0</v>
      </c>
      <c r="K12" s="8">
        <v>0.0</v>
      </c>
      <c r="L12" s="15">
        <f t="shared" si="5"/>
        <v>0</v>
      </c>
      <c r="M12" s="16">
        <f t="shared" si="6"/>
        <v>0</v>
      </c>
      <c r="N12" s="13"/>
      <c r="O12" s="17">
        <f t="shared" si="7"/>
        <v>0</v>
      </c>
      <c r="P12" s="18" t="str">
        <f t="shared" si="8"/>
        <v>#DIV/0!</v>
      </c>
      <c r="Q12" s="19" t="str">
        <f t="shared" si="9"/>
        <v>#DIV/0!</v>
      </c>
      <c r="R12" s="155"/>
      <c r="S12" s="198" t="str">
        <f t="shared" si="11"/>
        <v>#DIV/0!</v>
      </c>
      <c r="T12" s="65">
        <v>206.0</v>
      </c>
      <c r="U12" s="3"/>
      <c r="V12" s="3"/>
      <c r="W12" s="156"/>
      <c r="X12" s="41"/>
      <c r="Y12" s="3"/>
      <c r="Z12" s="3"/>
      <c r="AA12" s="3"/>
      <c r="AB12" s="3"/>
      <c r="AC12" s="3"/>
      <c r="AD12" s="3"/>
      <c r="AE12" s="3"/>
    </row>
    <row r="13">
      <c r="A13" s="5" t="s">
        <v>29</v>
      </c>
      <c r="B13" s="197">
        <v>1243580.79</v>
      </c>
      <c r="C13" s="9">
        <f t="shared" ref="C13:C15" si="12">G13+J13+L13</f>
        <v>490774</v>
      </c>
      <c r="D13" s="240"/>
      <c r="E13" s="11">
        <f t="shared" ref="E13:E19" si="13">D13/B13*100</f>
        <v>0</v>
      </c>
      <c r="F13" s="12">
        <f t="shared" ref="F13:F15" si="14">D13/K13</f>
        <v>0</v>
      </c>
      <c r="G13" s="13"/>
      <c r="H13" s="8">
        <v>1373.0</v>
      </c>
      <c r="I13" s="8">
        <v>1346.0</v>
      </c>
      <c r="J13" s="14">
        <f t="shared" ref="J13:J34" si="15">K13*T13</f>
        <v>365596</v>
      </c>
      <c r="K13" s="8">
        <v>1187.0</v>
      </c>
      <c r="L13" s="15">
        <f t="shared" si="5"/>
        <v>125178</v>
      </c>
      <c r="M13" s="16">
        <f t="shared" si="6"/>
        <v>153</v>
      </c>
      <c r="N13" s="8">
        <v>6.0</v>
      </c>
      <c r="O13" s="17">
        <f t="shared" si="7"/>
        <v>11.36701337</v>
      </c>
      <c r="P13" s="18">
        <f t="shared" si="8"/>
        <v>98.03350328</v>
      </c>
      <c r="Q13" s="19">
        <f t="shared" si="9"/>
        <v>88.1872214</v>
      </c>
      <c r="R13" s="12">
        <f t="shared" ref="R13:R15" si="16">G13/K13</f>
        <v>0</v>
      </c>
      <c r="S13" s="198">
        <f t="shared" si="11"/>
        <v>-0.01966496723</v>
      </c>
      <c r="T13" s="65">
        <v>308.0</v>
      </c>
      <c r="U13" s="3"/>
      <c r="V13" s="3"/>
      <c r="W13" s="156"/>
      <c r="X13" s="41"/>
      <c r="Y13" s="3"/>
      <c r="Z13" s="3"/>
      <c r="AA13" s="3"/>
      <c r="AB13" s="3"/>
      <c r="AC13" s="3"/>
      <c r="AD13" s="3"/>
      <c r="AE13" s="3"/>
    </row>
    <row r="14">
      <c r="A14" s="5" t="s">
        <v>30</v>
      </c>
      <c r="B14" s="197">
        <v>44843.53</v>
      </c>
      <c r="C14" s="21">
        <f t="shared" si="12"/>
        <v>17202</v>
      </c>
      <c r="D14" s="243"/>
      <c r="E14" s="11">
        <f t="shared" si="13"/>
        <v>0</v>
      </c>
      <c r="F14" s="12">
        <f t="shared" si="14"/>
        <v>0</v>
      </c>
      <c r="G14" s="23"/>
      <c r="H14" s="8">
        <v>26.0</v>
      </c>
      <c r="I14" s="8">
        <v>26.0</v>
      </c>
      <c r="J14" s="14">
        <f t="shared" si="15"/>
        <v>14784</v>
      </c>
      <c r="K14" s="8">
        <v>24.0</v>
      </c>
      <c r="L14" s="15">
        <f t="shared" si="5"/>
        <v>2418</v>
      </c>
      <c r="M14" s="16">
        <f t="shared" si="6"/>
        <v>2</v>
      </c>
      <c r="N14" s="13"/>
      <c r="O14" s="17">
        <f t="shared" si="7"/>
        <v>7.692307692</v>
      </c>
      <c r="P14" s="18">
        <f t="shared" si="8"/>
        <v>100</v>
      </c>
      <c r="Q14" s="19">
        <f t="shared" si="9"/>
        <v>92.30769231</v>
      </c>
      <c r="R14" s="12">
        <f t="shared" si="16"/>
        <v>0</v>
      </c>
      <c r="S14" s="198">
        <f t="shared" si="11"/>
        <v>0</v>
      </c>
      <c r="T14" s="65">
        <v>616.0</v>
      </c>
      <c r="U14" s="3"/>
      <c r="V14" s="3"/>
      <c r="W14" s="156"/>
      <c r="X14" s="41"/>
      <c r="Y14" s="3"/>
      <c r="Z14" s="3"/>
      <c r="AA14" s="3"/>
      <c r="AB14" s="3"/>
      <c r="AC14" s="3"/>
      <c r="AD14" s="3"/>
      <c r="AE14" s="3"/>
    </row>
    <row r="15">
      <c r="A15" s="5" t="s">
        <v>31</v>
      </c>
      <c r="B15" s="197">
        <v>0.0</v>
      </c>
      <c r="C15" s="21">
        <f t="shared" si="12"/>
        <v>0</v>
      </c>
      <c r="D15" s="243"/>
      <c r="E15" s="11" t="str">
        <f t="shared" si="13"/>
        <v>#DIV/0!</v>
      </c>
      <c r="F15" s="12" t="str">
        <f t="shared" si="14"/>
        <v>#DIV/0!</v>
      </c>
      <c r="G15" s="23"/>
      <c r="H15" s="8">
        <v>0.0</v>
      </c>
      <c r="I15" s="8">
        <v>0.0</v>
      </c>
      <c r="J15" s="14">
        <f t="shared" si="15"/>
        <v>0</v>
      </c>
      <c r="K15" s="8">
        <v>0.0</v>
      </c>
      <c r="L15" s="15">
        <f t="shared" si="5"/>
        <v>0</v>
      </c>
      <c r="M15" s="16">
        <f t="shared" si="6"/>
        <v>0</v>
      </c>
      <c r="N15" s="13"/>
      <c r="O15" s="17">
        <f t="shared" si="7"/>
        <v>0</v>
      </c>
      <c r="P15" s="18" t="str">
        <f t="shared" si="8"/>
        <v>#DIV/0!</v>
      </c>
      <c r="Q15" s="19" t="str">
        <f t="shared" si="9"/>
        <v>#DIV/0!</v>
      </c>
      <c r="R15" s="12" t="str">
        <f t="shared" si="16"/>
        <v>#DIV/0!</v>
      </c>
      <c r="S15" s="198" t="str">
        <f t="shared" si="11"/>
        <v>#DIV/0!</v>
      </c>
      <c r="T15" s="65">
        <v>435.0</v>
      </c>
      <c r="U15" s="3"/>
      <c r="V15" s="3"/>
      <c r="W15" s="156"/>
      <c r="X15" s="41"/>
      <c r="Y15" s="3"/>
      <c r="Z15" s="3"/>
      <c r="AA15" s="3"/>
      <c r="AB15" s="3"/>
      <c r="AC15" s="3"/>
      <c r="AD15" s="3"/>
      <c r="AE15" s="3"/>
    </row>
    <row r="16">
      <c r="A16" s="5" t="s">
        <v>32</v>
      </c>
      <c r="B16" s="197">
        <v>0.0</v>
      </c>
      <c r="C16" s="21">
        <v>0.0</v>
      </c>
      <c r="D16" s="243"/>
      <c r="E16" s="11" t="str">
        <f t="shared" si="13"/>
        <v>#DIV/0!</v>
      </c>
      <c r="F16" s="12">
        <v>0.0</v>
      </c>
      <c r="G16" s="23"/>
      <c r="H16" s="8">
        <v>0.0</v>
      </c>
      <c r="I16" s="8">
        <v>0.0</v>
      </c>
      <c r="J16" s="14">
        <f t="shared" si="15"/>
        <v>0</v>
      </c>
      <c r="K16" s="8">
        <v>0.0</v>
      </c>
      <c r="L16" s="15">
        <f t="shared" si="5"/>
        <v>0</v>
      </c>
      <c r="M16" s="16">
        <f t="shared" si="6"/>
        <v>0</v>
      </c>
      <c r="N16" s="13"/>
      <c r="O16" s="17">
        <f t="shared" si="7"/>
        <v>0</v>
      </c>
      <c r="P16" s="18" t="str">
        <f t="shared" si="8"/>
        <v>#DIV/0!</v>
      </c>
      <c r="Q16" s="19" t="str">
        <f t="shared" si="9"/>
        <v>#DIV/0!</v>
      </c>
      <c r="R16" s="155"/>
      <c r="S16" s="198" t="str">
        <f t="shared" si="11"/>
        <v>#DIV/0!</v>
      </c>
      <c r="T16" s="65">
        <v>699.0</v>
      </c>
      <c r="U16" s="3"/>
      <c r="V16" s="3"/>
      <c r="W16" s="156"/>
      <c r="X16" s="3"/>
      <c r="Y16" s="3"/>
      <c r="Z16" s="3"/>
      <c r="AA16" s="3"/>
      <c r="AB16" s="3"/>
      <c r="AC16" s="3"/>
      <c r="AD16" s="3"/>
      <c r="AE16" s="3"/>
    </row>
    <row r="17">
      <c r="A17" s="5" t="s">
        <v>33</v>
      </c>
      <c r="B17" s="197">
        <v>1435132.95</v>
      </c>
      <c r="C17" s="21">
        <f t="shared" ref="C17:C19" si="17">G17+J17+L17</f>
        <v>724087</v>
      </c>
      <c r="D17" s="243"/>
      <c r="E17" s="11">
        <f t="shared" si="13"/>
        <v>0</v>
      </c>
      <c r="F17" s="12">
        <f t="shared" ref="F17:F19" si="18">D17/K17</f>
        <v>0</v>
      </c>
      <c r="G17" s="23"/>
      <c r="H17" s="8">
        <v>950.0</v>
      </c>
      <c r="I17" s="8">
        <v>901.0</v>
      </c>
      <c r="J17" s="14">
        <f t="shared" si="15"/>
        <v>640294</v>
      </c>
      <c r="K17" s="8">
        <v>823.0</v>
      </c>
      <c r="L17" s="15">
        <f t="shared" si="5"/>
        <v>83793</v>
      </c>
      <c r="M17" s="16">
        <f t="shared" si="6"/>
        <v>69</v>
      </c>
      <c r="N17" s="8">
        <v>9.0</v>
      </c>
      <c r="O17" s="17">
        <f t="shared" si="7"/>
        <v>7.658157603</v>
      </c>
      <c r="P17" s="18">
        <f t="shared" si="8"/>
        <v>94.84210526</v>
      </c>
      <c r="Q17" s="19">
        <f t="shared" si="9"/>
        <v>91.34295228</v>
      </c>
      <c r="R17" s="12">
        <f t="shared" ref="R17:R19" si="19">G17/K17</f>
        <v>0</v>
      </c>
      <c r="S17" s="198">
        <f t="shared" si="11"/>
        <v>-0.05157894737</v>
      </c>
      <c r="T17" s="65">
        <v>778.0</v>
      </c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>
      <c r="A18" s="5" t="s">
        <v>34</v>
      </c>
      <c r="B18" s="197">
        <v>65297.75</v>
      </c>
      <c r="C18" s="21">
        <f t="shared" si="17"/>
        <v>41225</v>
      </c>
      <c r="D18" s="243"/>
      <c r="E18" s="11">
        <f t="shared" si="13"/>
        <v>0</v>
      </c>
      <c r="F18" s="12">
        <f t="shared" si="18"/>
        <v>0</v>
      </c>
      <c r="G18" s="23"/>
      <c r="H18" s="8">
        <v>28.0</v>
      </c>
      <c r="I18" s="8">
        <v>25.0</v>
      </c>
      <c r="J18" s="14">
        <f t="shared" si="15"/>
        <v>38900</v>
      </c>
      <c r="K18" s="8">
        <v>25.0</v>
      </c>
      <c r="L18" s="15">
        <f t="shared" si="5"/>
        <v>2325</v>
      </c>
      <c r="M18" s="16">
        <f t="shared" si="6"/>
        <v>0</v>
      </c>
      <c r="N18" s="13"/>
      <c r="O18" s="17">
        <f t="shared" si="7"/>
        <v>0</v>
      </c>
      <c r="P18" s="18">
        <f t="shared" si="8"/>
        <v>89.28571429</v>
      </c>
      <c r="Q18" s="19">
        <f t="shared" si="9"/>
        <v>100</v>
      </c>
      <c r="R18" s="12">
        <f t="shared" si="19"/>
        <v>0</v>
      </c>
      <c r="S18" s="198">
        <f t="shared" si="11"/>
        <v>-0.1071428571</v>
      </c>
      <c r="T18" s="65">
        <v>1556.0</v>
      </c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>
      <c r="A19" s="5" t="s">
        <v>131</v>
      </c>
      <c r="B19" s="197">
        <v>97406.06</v>
      </c>
      <c r="C19" s="21">
        <f t="shared" si="17"/>
        <v>64102</v>
      </c>
      <c r="D19" s="243"/>
      <c r="E19" s="11">
        <f t="shared" si="13"/>
        <v>0</v>
      </c>
      <c r="F19" s="12">
        <f t="shared" si="18"/>
        <v>0</v>
      </c>
      <c r="G19" s="23"/>
      <c r="H19" s="8">
        <v>65.0</v>
      </c>
      <c r="I19" s="8">
        <v>60.0</v>
      </c>
      <c r="J19" s="14">
        <f t="shared" si="15"/>
        <v>58522</v>
      </c>
      <c r="K19" s="8">
        <v>58.0</v>
      </c>
      <c r="L19" s="15">
        <f t="shared" si="5"/>
        <v>5580</v>
      </c>
      <c r="M19" s="16">
        <f t="shared" si="6"/>
        <v>2</v>
      </c>
      <c r="N19" s="13"/>
      <c r="O19" s="17">
        <f t="shared" si="7"/>
        <v>3.333333333</v>
      </c>
      <c r="P19" s="18">
        <f t="shared" si="8"/>
        <v>92.30769231</v>
      </c>
      <c r="Q19" s="19">
        <f t="shared" si="9"/>
        <v>96.66666667</v>
      </c>
      <c r="R19" s="12">
        <f t="shared" si="19"/>
        <v>0</v>
      </c>
      <c r="S19" s="198">
        <f t="shared" si="11"/>
        <v>-0.07692307692</v>
      </c>
      <c r="T19" s="65">
        <v>1009.0</v>
      </c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>
      <c r="A20" s="5" t="s">
        <v>37</v>
      </c>
      <c r="B20" s="197">
        <v>0.0</v>
      </c>
      <c r="C20" s="21">
        <v>0.0</v>
      </c>
      <c r="D20" s="243"/>
      <c r="E20" s="11">
        <v>0.0</v>
      </c>
      <c r="F20" s="12">
        <v>0.0</v>
      </c>
      <c r="G20" s="23"/>
      <c r="H20" s="8">
        <v>0.0</v>
      </c>
      <c r="I20" s="8">
        <v>0.0</v>
      </c>
      <c r="J20" s="14">
        <f t="shared" si="15"/>
        <v>0</v>
      </c>
      <c r="K20" s="8">
        <v>0.0</v>
      </c>
      <c r="L20" s="15">
        <f t="shared" si="5"/>
        <v>0</v>
      </c>
      <c r="M20" s="16">
        <f t="shared" si="6"/>
        <v>0</v>
      </c>
      <c r="N20" s="13"/>
      <c r="O20" s="17">
        <f t="shared" si="7"/>
        <v>0</v>
      </c>
      <c r="P20" s="18">
        <v>0.0</v>
      </c>
      <c r="Q20" s="19">
        <v>0.0</v>
      </c>
      <c r="R20" s="12">
        <v>0.0</v>
      </c>
      <c r="S20" s="198" t="str">
        <f t="shared" si="11"/>
        <v>#DIV/0!</v>
      </c>
      <c r="T20" s="65">
        <v>250.0</v>
      </c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>
      <c r="A21" s="5" t="s">
        <v>132</v>
      </c>
      <c r="B21" s="197">
        <v>182251.84</v>
      </c>
      <c r="C21" s="21">
        <f t="shared" ref="C21:C34" si="20">G21+J21+L21</f>
        <v>89427</v>
      </c>
      <c r="D21" s="243"/>
      <c r="E21" s="11">
        <f t="shared" ref="E21:E34" si="21">D21/B21*100</f>
        <v>0</v>
      </c>
      <c r="F21" s="12">
        <f t="shared" ref="F21:F34" si="22">D21/K21</f>
        <v>0</v>
      </c>
      <c r="G21" s="23"/>
      <c r="H21" s="8">
        <v>256.0</v>
      </c>
      <c r="I21" s="8">
        <v>239.0</v>
      </c>
      <c r="J21" s="14">
        <f t="shared" si="15"/>
        <v>67200</v>
      </c>
      <c r="K21" s="8">
        <v>224.0</v>
      </c>
      <c r="L21" s="15">
        <f t="shared" si="5"/>
        <v>22227</v>
      </c>
      <c r="M21" s="16">
        <f t="shared" si="6"/>
        <v>15</v>
      </c>
      <c r="N21" s="13"/>
      <c r="O21" s="17">
        <f t="shared" si="7"/>
        <v>6.276150628</v>
      </c>
      <c r="P21" s="18">
        <f t="shared" ref="P21:P34" si="23">I21/H21*100</f>
        <v>93.359375</v>
      </c>
      <c r="Q21" s="19">
        <f t="shared" ref="Q21:Q34" si="24">K21/I21*100</f>
        <v>93.72384937</v>
      </c>
      <c r="R21" s="12">
        <f t="shared" ref="R21:R34" si="25">G21/K21</f>
        <v>0</v>
      </c>
      <c r="S21" s="198">
        <f t="shared" si="11"/>
        <v>-0.06640625</v>
      </c>
      <c r="T21" s="65">
        <v>300.0</v>
      </c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>
      <c r="A22" s="5" t="s">
        <v>146</v>
      </c>
      <c r="B22" s="197">
        <v>125830.43</v>
      </c>
      <c r="C22" s="21">
        <f t="shared" si="20"/>
        <v>60573</v>
      </c>
      <c r="D22" s="243"/>
      <c r="E22" s="11">
        <f t="shared" si="21"/>
        <v>0</v>
      </c>
      <c r="F22" s="12">
        <f t="shared" si="22"/>
        <v>0</v>
      </c>
      <c r="G22" s="23"/>
      <c r="H22" s="8">
        <v>166.0</v>
      </c>
      <c r="I22" s="8">
        <v>161.0</v>
      </c>
      <c r="J22" s="14">
        <f t="shared" si="15"/>
        <v>45600</v>
      </c>
      <c r="K22" s="8">
        <v>152.0</v>
      </c>
      <c r="L22" s="15">
        <f t="shared" si="5"/>
        <v>14973</v>
      </c>
      <c r="M22" s="16">
        <f t="shared" si="6"/>
        <v>9</v>
      </c>
      <c r="N22" s="13"/>
      <c r="O22" s="17">
        <f t="shared" si="7"/>
        <v>5.590062112</v>
      </c>
      <c r="P22" s="18">
        <f t="shared" si="23"/>
        <v>96.98795181</v>
      </c>
      <c r="Q22" s="19">
        <f t="shared" si="24"/>
        <v>94.40993789</v>
      </c>
      <c r="R22" s="12">
        <f t="shared" si="25"/>
        <v>0</v>
      </c>
      <c r="S22" s="198">
        <f t="shared" si="11"/>
        <v>-0.03012048193</v>
      </c>
      <c r="T22" s="65">
        <v>300.0</v>
      </c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>
      <c r="A23" s="5" t="s">
        <v>133</v>
      </c>
      <c r="B23" s="197">
        <v>0.0</v>
      </c>
      <c r="C23" s="21">
        <f t="shared" si="20"/>
        <v>0</v>
      </c>
      <c r="D23" s="243"/>
      <c r="E23" s="11" t="str">
        <f t="shared" si="21"/>
        <v>#DIV/0!</v>
      </c>
      <c r="F23" s="12" t="str">
        <f t="shared" si="22"/>
        <v>#DIV/0!</v>
      </c>
      <c r="G23" s="23"/>
      <c r="H23" s="8">
        <v>0.0</v>
      </c>
      <c r="I23" s="8">
        <v>0.0</v>
      </c>
      <c r="J23" s="14">
        <f t="shared" si="15"/>
        <v>0</v>
      </c>
      <c r="K23" s="8">
        <v>0.0</v>
      </c>
      <c r="L23" s="15">
        <f t="shared" si="5"/>
        <v>0</v>
      </c>
      <c r="M23" s="16">
        <f t="shared" si="6"/>
        <v>0</v>
      </c>
      <c r="N23" s="13"/>
      <c r="O23" s="17">
        <f t="shared" si="7"/>
        <v>0</v>
      </c>
      <c r="P23" s="18" t="str">
        <f t="shared" si="23"/>
        <v>#DIV/0!</v>
      </c>
      <c r="Q23" s="19" t="str">
        <f t="shared" si="24"/>
        <v>#DIV/0!</v>
      </c>
      <c r="R23" s="12" t="str">
        <f t="shared" si="25"/>
        <v>#DIV/0!</v>
      </c>
      <c r="S23" s="198" t="str">
        <f t="shared" si="11"/>
        <v>#DIV/0!</v>
      </c>
      <c r="T23" s="65">
        <v>300.0</v>
      </c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>
      <c r="A24" s="5" t="s">
        <v>134</v>
      </c>
      <c r="B24" s="197">
        <v>110191.18</v>
      </c>
      <c r="C24" s="21">
        <f t="shared" si="20"/>
        <v>59973</v>
      </c>
      <c r="D24" s="243"/>
      <c r="E24" s="11">
        <f t="shared" si="21"/>
        <v>0</v>
      </c>
      <c r="F24" s="12">
        <f t="shared" si="22"/>
        <v>0</v>
      </c>
      <c r="G24" s="23"/>
      <c r="H24" s="8">
        <v>43.0</v>
      </c>
      <c r="I24" s="8">
        <v>41.0</v>
      </c>
      <c r="J24" s="14">
        <f t="shared" si="15"/>
        <v>56160</v>
      </c>
      <c r="K24" s="8">
        <v>39.0</v>
      </c>
      <c r="L24" s="15">
        <f t="shared" si="5"/>
        <v>3813</v>
      </c>
      <c r="M24" s="16">
        <f t="shared" si="6"/>
        <v>2</v>
      </c>
      <c r="N24" s="13"/>
      <c r="O24" s="17">
        <f t="shared" si="7"/>
        <v>4.87804878</v>
      </c>
      <c r="P24" s="18">
        <f t="shared" si="23"/>
        <v>95.34883721</v>
      </c>
      <c r="Q24" s="19">
        <f t="shared" si="24"/>
        <v>95.12195122</v>
      </c>
      <c r="R24" s="12">
        <f t="shared" si="25"/>
        <v>0</v>
      </c>
      <c r="S24" s="198">
        <f t="shared" si="11"/>
        <v>-0.04651162791</v>
      </c>
      <c r="T24" s="65">
        <v>1440.0</v>
      </c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>
      <c r="A25" s="5" t="s">
        <v>135</v>
      </c>
      <c r="B25" s="197">
        <v>47560.67</v>
      </c>
      <c r="C25" s="21">
        <f t="shared" si="20"/>
        <v>33840</v>
      </c>
      <c r="D25" s="243"/>
      <c r="E25" s="11">
        <f t="shared" si="21"/>
        <v>0</v>
      </c>
      <c r="F25" s="12">
        <f t="shared" si="22"/>
        <v>0</v>
      </c>
      <c r="G25" s="23"/>
      <c r="H25" s="8">
        <v>21.0</v>
      </c>
      <c r="I25" s="8">
        <v>18.0</v>
      </c>
      <c r="J25" s="14">
        <f t="shared" si="15"/>
        <v>32166</v>
      </c>
      <c r="K25" s="8">
        <v>18.0</v>
      </c>
      <c r="L25" s="15">
        <f t="shared" si="5"/>
        <v>1674</v>
      </c>
      <c r="M25" s="16">
        <f t="shared" si="6"/>
        <v>0</v>
      </c>
      <c r="N25" s="13"/>
      <c r="O25" s="17">
        <f t="shared" si="7"/>
        <v>0</v>
      </c>
      <c r="P25" s="18">
        <f t="shared" si="23"/>
        <v>85.71428571</v>
      </c>
      <c r="Q25" s="19">
        <f t="shared" si="24"/>
        <v>100</v>
      </c>
      <c r="R25" s="12">
        <f t="shared" si="25"/>
        <v>0</v>
      </c>
      <c r="S25" s="198">
        <f t="shared" si="11"/>
        <v>-0.1428571429</v>
      </c>
      <c r="T25" s="65">
        <v>1787.0</v>
      </c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>
      <c r="A26" s="5" t="s">
        <v>136</v>
      </c>
      <c r="B26" s="197">
        <v>0.0</v>
      </c>
      <c r="C26" s="21">
        <f t="shared" si="20"/>
        <v>0</v>
      </c>
      <c r="D26" s="243"/>
      <c r="E26" s="11" t="str">
        <f t="shared" si="21"/>
        <v>#DIV/0!</v>
      </c>
      <c r="F26" s="12" t="str">
        <f t="shared" si="22"/>
        <v>#DIV/0!</v>
      </c>
      <c r="G26" s="23"/>
      <c r="H26" s="8">
        <v>0.0</v>
      </c>
      <c r="I26" s="8">
        <v>0.0</v>
      </c>
      <c r="J26" s="14">
        <f t="shared" si="15"/>
        <v>0</v>
      </c>
      <c r="K26" s="8">
        <v>0.0</v>
      </c>
      <c r="L26" s="15">
        <f t="shared" si="5"/>
        <v>0</v>
      </c>
      <c r="M26" s="16">
        <f t="shared" si="6"/>
        <v>0</v>
      </c>
      <c r="N26" s="13"/>
      <c r="O26" s="17">
        <f t="shared" si="7"/>
        <v>0</v>
      </c>
      <c r="P26" s="18" t="str">
        <f t="shared" si="23"/>
        <v>#DIV/0!</v>
      </c>
      <c r="Q26" s="19" t="str">
        <f t="shared" si="24"/>
        <v>#DIV/0!</v>
      </c>
      <c r="R26" s="12" t="str">
        <f t="shared" si="25"/>
        <v>#DIV/0!</v>
      </c>
      <c r="S26" s="198" t="str">
        <f t="shared" si="11"/>
        <v>#DIV/0!</v>
      </c>
      <c r="T26" s="65">
        <v>619.0</v>
      </c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>
      <c r="A27" s="5" t="s">
        <v>137</v>
      </c>
      <c r="B27" s="197">
        <v>76537.95</v>
      </c>
      <c r="C27" s="21">
        <f t="shared" si="20"/>
        <v>31404</v>
      </c>
      <c r="D27" s="243"/>
      <c r="E27" s="11">
        <f t="shared" si="21"/>
        <v>0</v>
      </c>
      <c r="F27" s="12">
        <f t="shared" si="22"/>
        <v>0</v>
      </c>
      <c r="G27" s="23"/>
      <c r="H27" s="8">
        <v>64.0</v>
      </c>
      <c r="I27" s="8">
        <v>64.0</v>
      </c>
      <c r="J27" s="14">
        <f t="shared" si="15"/>
        <v>25452</v>
      </c>
      <c r="K27" s="8">
        <v>63.0</v>
      </c>
      <c r="L27" s="15">
        <f t="shared" si="5"/>
        <v>5952</v>
      </c>
      <c r="M27" s="16">
        <f t="shared" si="6"/>
        <v>1</v>
      </c>
      <c r="N27" s="13"/>
      <c r="O27" s="17">
        <f t="shared" si="7"/>
        <v>1.5625</v>
      </c>
      <c r="P27" s="18">
        <f t="shared" si="23"/>
        <v>100</v>
      </c>
      <c r="Q27" s="19">
        <f t="shared" si="24"/>
        <v>98.4375</v>
      </c>
      <c r="R27" s="12">
        <f t="shared" si="25"/>
        <v>0</v>
      </c>
      <c r="S27" s="198">
        <f t="shared" si="11"/>
        <v>0</v>
      </c>
      <c r="T27" s="65">
        <v>404.0</v>
      </c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>
      <c r="A28" s="5" t="s">
        <v>138</v>
      </c>
      <c r="B28" s="197">
        <v>0.0</v>
      </c>
      <c r="C28" s="21">
        <f t="shared" si="20"/>
        <v>0</v>
      </c>
      <c r="D28" s="243"/>
      <c r="E28" s="11" t="str">
        <f t="shared" si="21"/>
        <v>#DIV/0!</v>
      </c>
      <c r="F28" s="12" t="str">
        <f t="shared" si="22"/>
        <v>#DIV/0!</v>
      </c>
      <c r="G28" s="23"/>
      <c r="H28" s="8">
        <v>0.0</v>
      </c>
      <c r="I28" s="8">
        <v>0.0</v>
      </c>
      <c r="J28" s="14">
        <f t="shared" si="15"/>
        <v>0</v>
      </c>
      <c r="K28" s="8">
        <v>0.0</v>
      </c>
      <c r="L28" s="15">
        <f t="shared" si="5"/>
        <v>0</v>
      </c>
      <c r="M28" s="16">
        <f t="shared" si="6"/>
        <v>0</v>
      </c>
      <c r="N28" s="13"/>
      <c r="O28" s="17">
        <f t="shared" si="7"/>
        <v>0</v>
      </c>
      <c r="P28" s="18" t="str">
        <f t="shared" si="23"/>
        <v>#DIV/0!</v>
      </c>
      <c r="Q28" s="19" t="str">
        <f t="shared" si="24"/>
        <v>#DIV/0!</v>
      </c>
      <c r="R28" s="12" t="str">
        <f t="shared" si="25"/>
        <v>#DIV/0!</v>
      </c>
      <c r="S28" s="198" t="str">
        <f t="shared" si="11"/>
        <v>#DIV/0!</v>
      </c>
      <c r="T28" s="65">
        <v>655.0</v>
      </c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>
      <c r="A29" s="5" t="s">
        <v>35</v>
      </c>
      <c r="B29" s="197">
        <v>29862.97</v>
      </c>
      <c r="C29" s="21">
        <f t="shared" si="20"/>
        <v>10575</v>
      </c>
      <c r="D29" s="243"/>
      <c r="E29" s="11">
        <f t="shared" si="21"/>
        <v>0</v>
      </c>
      <c r="F29" s="12">
        <f t="shared" si="22"/>
        <v>0</v>
      </c>
      <c r="G29" s="23"/>
      <c r="H29" s="8">
        <v>17.0</v>
      </c>
      <c r="I29" s="8">
        <v>15.0</v>
      </c>
      <c r="J29" s="14">
        <f t="shared" si="15"/>
        <v>9180</v>
      </c>
      <c r="K29" s="8">
        <v>15.0</v>
      </c>
      <c r="L29" s="15">
        <f t="shared" si="5"/>
        <v>1395</v>
      </c>
      <c r="M29" s="16">
        <f t="shared" si="6"/>
        <v>0</v>
      </c>
      <c r="N29" s="13"/>
      <c r="O29" s="17">
        <f t="shared" si="7"/>
        <v>0</v>
      </c>
      <c r="P29" s="18">
        <f t="shared" si="23"/>
        <v>88.23529412</v>
      </c>
      <c r="Q29" s="19">
        <f t="shared" si="24"/>
        <v>100</v>
      </c>
      <c r="R29" s="12">
        <f t="shared" si="25"/>
        <v>0</v>
      </c>
      <c r="S29" s="198">
        <f t="shared" si="11"/>
        <v>-0.1176470588</v>
      </c>
      <c r="T29" s="65">
        <v>612.0</v>
      </c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>
      <c r="A30" s="5" t="s">
        <v>139</v>
      </c>
      <c r="B30" s="197">
        <v>0.0</v>
      </c>
      <c r="C30" s="21">
        <f t="shared" si="20"/>
        <v>0</v>
      </c>
      <c r="D30" s="243"/>
      <c r="E30" s="11" t="str">
        <f t="shared" si="21"/>
        <v>#DIV/0!</v>
      </c>
      <c r="F30" s="12" t="str">
        <f t="shared" si="22"/>
        <v>#DIV/0!</v>
      </c>
      <c r="G30" s="23"/>
      <c r="H30" s="8">
        <v>0.0</v>
      </c>
      <c r="I30" s="8">
        <v>0.0</v>
      </c>
      <c r="J30" s="14">
        <f t="shared" si="15"/>
        <v>0</v>
      </c>
      <c r="K30" s="8">
        <v>0.0</v>
      </c>
      <c r="L30" s="15">
        <f t="shared" si="5"/>
        <v>0</v>
      </c>
      <c r="M30" s="16">
        <f t="shared" si="6"/>
        <v>0</v>
      </c>
      <c r="N30" s="13"/>
      <c r="O30" s="17">
        <f t="shared" si="7"/>
        <v>0</v>
      </c>
      <c r="P30" s="18" t="str">
        <f t="shared" si="23"/>
        <v>#DIV/0!</v>
      </c>
      <c r="Q30" s="19" t="str">
        <f t="shared" si="24"/>
        <v>#DIV/0!</v>
      </c>
      <c r="R30" s="12" t="str">
        <f t="shared" si="25"/>
        <v>#DIV/0!</v>
      </c>
      <c r="S30" s="198" t="str">
        <f t="shared" si="11"/>
        <v>#DIV/0!</v>
      </c>
      <c r="T30" s="65">
        <v>743.0</v>
      </c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>
      <c r="A31" s="5" t="s">
        <v>140</v>
      </c>
      <c r="B31" s="197">
        <v>0.0</v>
      </c>
      <c r="C31" s="21">
        <f t="shared" si="20"/>
        <v>0</v>
      </c>
      <c r="D31" s="243"/>
      <c r="E31" s="11" t="str">
        <f t="shared" si="21"/>
        <v>#DIV/0!</v>
      </c>
      <c r="F31" s="12" t="str">
        <f t="shared" si="22"/>
        <v>#DIV/0!</v>
      </c>
      <c r="G31" s="23"/>
      <c r="H31" s="8">
        <v>0.0</v>
      </c>
      <c r="I31" s="8">
        <v>0.0</v>
      </c>
      <c r="J31" s="14">
        <f t="shared" si="15"/>
        <v>0</v>
      </c>
      <c r="K31" s="8">
        <v>0.0</v>
      </c>
      <c r="L31" s="15">
        <f t="shared" si="5"/>
        <v>0</v>
      </c>
      <c r="M31" s="16">
        <f t="shared" si="6"/>
        <v>0</v>
      </c>
      <c r="N31" s="13"/>
      <c r="O31" s="17">
        <f t="shared" si="7"/>
        <v>0</v>
      </c>
      <c r="P31" s="18" t="str">
        <f t="shared" si="23"/>
        <v>#DIV/0!</v>
      </c>
      <c r="Q31" s="19" t="str">
        <f t="shared" si="24"/>
        <v>#DIV/0!</v>
      </c>
      <c r="R31" s="12" t="str">
        <f t="shared" si="25"/>
        <v>#DIV/0!</v>
      </c>
      <c r="S31" s="198" t="str">
        <f t="shared" si="11"/>
        <v>#DIV/0!</v>
      </c>
      <c r="T31" s="65">
        <v>739.0</v>
      </c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>
      <c r="A32" s="5" t="s">
        <v>141</v>
      </c>
      <c r="B32" s="197">
        <v>74886.29</v>
      </c>
      <c r="C32" s="21">
        <f t="shared" si="20"/>
        <v>24342</v>
      </c>
      <c r="D32" s="243"/>
      <c r="E32" s="11">
        <f t="shared" si="21"/>
        <v>0</v>
      </c>
      <c r="F32" s="12">
        <f t="shared" si="22"/>
        <v>0</v>
      </c>
      <c r="G32" s="23"/>
      <c r="H32" s="8">
        <v>43.0</v>
      </c>
      <c r="I32" s="8">
        <v>42.0</v>
      </c>
      <c r="J32" s="14">
        <f t="shared" si="15"/>
        <v>20436</v>
      </c>
      <c r="K32" s="8">
        <v>39.0</v>
      </c>
      <c r="L32" s="15">
        <f t="shared" si="5"/>
        <v>3906</v>
      </c>
      <c r="M32" s="16">
        <f t="shared" si="6"/>
        <v>3</v>
      </c>
      <c r="N32" s="13"/>
      <c r="O32" s="17">
        <f t="shared" si="7"/>
        <v>7.142857143</v>
      </c>
      <c r="P32" s="18">
        <f t="shared" si="23"/>
        <v>97.6744186</v>
      </c>
      <c r="Q32" s="19">
        <f t="shared" si="24"/>
        <v>92.85714286</v>
      </c>
      <c r="R32" s="12">
        <f t="shared" si="25"/>
        <v>0</v>
      </c>
      <c r="S32" s="198">
        <f t="shared" si="11"/>
        <v>-0.02325581395</v>
      </c>
      <c r="T32" s="65">
        <v>524.0</v>
      </c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>
      <c r="A33" s="5" t="s">
        <v>36</v>
      </c>
      <c r="B33" s="197">
        <v>8490.73</v>
      </c>
      <c r="C33" s="21">
        <f t="shared" si="20"/>
        <v>2925</v>
      </c>
      <c r="D33" s="243"/>
      <c r="E33" s="11">
        <f t="shared" si="21"/>
        <v>0</v>
      </c>
      <c r="F33" s="12">
        <f t="shared" si="22"/>
        <v>0</v>
      </c>
      <c r="G33" s="23"/>
      <c r="H33" s="8">
        <v>5.0</v>
      </c>
      <c r="I33" s="8">
        <v>5.0</v>
      </c>
      <c r="J33" s="14">
        <f t="shared" si="15"/>
        <v>2460</v>
      </c>
      <c r="K33" s="8">
        <v>5.0</v>
      </c>
      <c r="L33" s="15">
        <f t="shared" si="5"/>
        <v>465</v>
      </c>
      <c r="M33" s="16">
        <f t="shared" si="6"/>
        <v>0</v>
      </c>
      <c r="N33" s="13"/>
      <c r="O33" s="17">
        <f t="shared" si="7"/>
        <v>0</v>
      </c>
      <c r="P33" s="18">
        <f t="shared" si="23"/>
        <v>100</v>
      </c>
      <c r="Q33" s="19">
        <f t="shared" si="24"/>
        <v>100</v>
      </c>
      <c r="R33" s="12">
        <f t="shared" si="25"/>
        <v>0</v>
      </c>
      <c r="S33" s="198">
        <f t="shared" si="11"/>
        <v>0</v>
      </c>
      <c r="T33" s="65">
        <v>492.0</v>
      </c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>
      <c r="A34" s="199" t="s">
        <v>142</v>
      </c>
      <c r="B34" s="197">
        <v>25304.72</v>
      </c>
      <c r="C34" s="21">
        <f t="shared" si="20"/>
        <v>9877</v>
      </c>
      <c r="D34" s="243"/>
      <c r="E34" s="11">
        <f t="shared" si="21"/>
        <v>0</v>
      </c>
      <c r="F34" s="12">
        <f t="shared" si="22"/>
        <v>0</v>
      </c>
      <c r="G34" s="23"/>
      <c r="H34" s="197">
        <v>17.0</v>
      </c>
      <c r="I34" s="197">
        <v>17.0</v>
      </c>
      <c r="J34" s="200">
        <f t="shared" si="15"/>
        <v>8296</v>
      </c>
      <c r="K34" s="197">
        <v>17.0</v>
      </c>
      <c r="L34" s="201">
        <f t="shared" si="5"/>
        <v>1581</v>
      </c>
      <c r="M34" s="202">
        <f t="shared" si="6"/>
        <v>0</v>
      </c>
      <c r="N34" s="23"/>
      <c r="O34" s="17">
        <f t="shared" si="7"/>
        <v>0</v>
      </c>
      <c r="P34" s="18">
        <f t="shared" si="23"/>
        <v>100</v>
      </c>
      <c r="Q34" s="19">
        <f t="shared" si="24"/>
        <v>100</v>
      </c>
      <c r="R34" s="12">
        <f t="shared" si="25"/>
        <v>0</v>
      </c>
      <c r="S34" s="198">
        <f t="shared" si="11"/>
        <v>0</v>
      </c>
      <c r="T34" s="183">
        <v>488.0</v>
      </c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</row>
    <row r="35">
      <c r="A35" s="24" t="s">
        <v>38</v>
      </c>
      <c r="B35" s="179">
        <f>sum(B4:B34)+80000</f>
        <v>6605422.43</v>
      </c>
      <c r="C35" s="28"/>
      <c r="D35" s="25">
        <f>SUM(D4:D34)</f>
        <v>0</v>
      </c>
      <c r="E35" s="26"/>
      <c r="F35" s="26"/>
      <c r="G35" s="158">
        <v>4231133.0</v>
      </c>
      <c r="H35" s="25">
        <f t="shared" ref="H35:N35" si="26">SUM(H4:H34)</f>
        <v>6528</v>
      </c>
      <c r="I35" s="25">
        <f t="shared" si="26"/>
        <v>6365</v>
      </c>
      <c r="J35" s="25">
        <f t="shared" si="26"/>
        <v>2268484</v>
      </c>
      <c r="K35" s="25">
        <f t="shared" si="26"/>
        <v>5829</v>
      </c>
      <c r="L35" s="25">
        <f t="shared" si="26"/>
        <v>591945</v>
      </c>
      <c r="M35" s="25">
        <f t="shared" si="26"/>
        <v>511</v>
      </c>
      <c r="N35" s="25">
        <f t="shared" si="26"/>
        <v>25</v>
      </c>
      <c r="O35" s="198">
        <f>M35/K35</f>
        <v>0.08766512266</v>
      </c>
      <c r="P35" s="203">
        <f>I35/H35</f>
        <v>0.9750306373</v>
      </c>
      <c r="Q35" s="203">
        <f>K35/H35</f>
        <v>0.8929227941</v>
      </c>
      <c r="R35" s="29" t="str">
        <f>SUM(R4:R34)</f>
        <v>#DIV/0!</v>
      </c>
      <c r="S35" s="198">
        <f t="shared" si="11"/>
        <v>-0.02496936275</v>
      </c>
      <c r="T35" s="28"/>
      <c r="U35" s="3"/>
      <c r="V35" s="3"/>
      <c r="W35" s="156"/>
      <c r="X35" s="3"/>
      <c r="Y35" s="3"/>
      <c r="Z35" s="3"/>
      <c r="AA35" s="3"/>
      <c r="AB35" s="3"/>
      <c r="AC35" s="3"/>
      <c r="AD35" s="3"/>
      <c r="AE35" s="3"/>
    </row>
    <row r="36">
      <c r="A36" s="3"/>
      <c r="B36" s="37"/>
      <c r="C36" s="3"/>
      <c r="D36" s="3"/>
      <c r="E36" s="3"/>
      <c r="F36" s="3"/>
      <c r="G36" s="3"/>
      <c r="H36" s="3"/>
      <c r="I36" s="3"/>
      <c r="J36" s="35"/>
      <c r="K36" s="204"/>
      <c r="L36" s="3"/>
      <c r="M36" s="205"/>
      <c r="N36" s="3"/>
      <c r="O36" s="3"/>
      <c r="P36" s="3"/>
      <c r="Q36" s="3"/>
      <c r="R36" s="3"/>
      <c r="S36" s="3"/>
      <c r="T36" s="3"/>
      <c r="U36" s="3"/>
      <c r="V36" s="3"/>
      <c r="W36" s="156"/>
      <c r="X36" s="3"/>
      <c r="Y36" s="3"/>
      <c r="Z36" s="3"/>
      <c r="AA36" s="3"/>
      <c r="AB36" s="3"/>
      <c r="AC36" s="3"/>
      <c r="AD36" s="3"/>
      <c r="AE36" s="3"/>
    </row>
    <row r="37">
      <c r="A37" s="3"/>
      <c r="B37" s="37"/>
      <c r="C37" s="3"/>
      <c r="D37" s="3"/>
      <c r="E37" s="37"/>
      <c r="F37" s="3"/>
      <c r="G37" s="37"/>
      <c r="H37" s="3"/>
      <c r="I37" s="3"/>
      <c r="J37" s="205"/>
      <c r="K37" s="204"/>
      <c r="L37" s="3"/>
      <c r="M37" s="3"/>
      <c r="N37" s="41">
        <f>N35*1000</f>
        <v>25000</v>
      </c>
      <c r="O37" s="61">
        <f>N35/H35</f>
        <v>0.003829656863</v>
      </c>
      <c r="P37" s="3"/>
      <c r="Q37" s="3"/>
      <c r="R37" s="3"/>
      <c r="S37" s="3"/>
      <c r="T37" s="3"/>
      <c r="U37" s="3"/>
      <c r="V37" s="3"/>
      <c r="W37" s="156"/>
      <c r="X37" s="3"/>
      <c r="Y37" s="3"/>
      <c r="Z37" s="3"/>
      <c r="AA37" s="3"/>
      <c r="AB37" s="3"/>
      <c r="AC37" s="3"/>
      <c r="AD37" s="3"/>
      <c r="AE37" s="3"/>
    </row>
    <row r="38">
      <c r="A38" s="3"/>
      <c r="B38" s="37"/>
      <c r="C38" s="3"/>
      <c r="D38" s="30" t="s">
        <v>39</v>
      </c>
      <c r="E38" s="37"/>
      <c r="F38" s="35"/>
      <c r="G38" s="3"/>
      <c r="H38" s="157"/>
      <c r="I38" s="157"/>
      <c r="J38" s="160"/>
      <c r="K38" s="161"/>
      <c r="L38" s="206"/>
      <c r="M38" s="3"/>
      <c r="N38" s="3"/>
      <c r="O38" s="3"/>
      <c r="P38" s="3"/>
      <c r="Q38" s="3"/>
      <c r="R38" s="3"/>
      <c r="S38" s="3"/>
      <c r="T38" s="3"/>
      <c r="U38" s="3"/>
      <c r="V38" s="3"/>
      <c r="W38" s="156"/>
      <c r="X38" s="3"/>
      <c r="Y38" s="3"/>
      <c r="Z38" s="3"/>
      <c r="AA38" s="3"/>
      <c r="AB38" s="3"/>
      <c r="AC38" s="3"/>
      <c r="AD38" s="3"/>
      <c r="AE38" s="3"/>
    </row>
    <row r="39">
      <c r="A39" s="31" t="s">
        <v>116</v>
      </c>
      <c r="B39" s="36">
        <f>K35</f>
        <v>5829</v>
      </c>
      <c r="C39" s="35"/>
      <c r="D39" s="69"/>
      <c r="E39" s="162"/>
      <c r="F39" s="35"/>
      <c r="G39" s="3"/>
      <c r="H39" s="157"/>
      <c r="I39" s="157"/>
      <c r="J39" s="163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3"/>
      <c r="Y39" s="3"/>
      <c r="Z39" s="3"/>
      <c r="AA39" s="3"/>
      <c r="AB39" s="3"/>
      <c r="AC39" s="3"/>
      <c r="AD39" s="3"/>
      <c r="AE39" s="3"/>
    </row>
    <row r="40">
      <c r="A40" s="31" t="s">
        <v>40</v>
      </c>
      <c r="B40" s="36">
        <f>B35</f>
        <v>6605422.43</v>
      </c>
      <c r="C40" s="35"/>
      <c r="D40" s="33" t="s">
        <v>41</v>
      </c>
      <c r="E40" s="34">
        <f>B41/B39</f>
        <v>389.1720707</v>
      </c>
      <c r="F40" s="35">
        <f>E40/E43</f>
        <v>0.3434275437</v>
      </c>
      <c r="G40" s="205"/>
      <c r="H40" s="161"/>
      <c r="I40" s="157">
        <f>B17/K17</f>
        <v>1743.782442</v>
      </c>
      <c r="J40" s="160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3"/>
      <c r="Y40" s="3"/>
      <c r="Z40" s="3"/>
      <c r="AA40" s="3"/>
      <c r="AB40" s="3"/>
      <c r="AC40" s="3"/>
      <c r="AD40" s="3"/>
      <c r="AE40" s="3"/>
    </row>
    <row r="41">
      <c r="A41" s="31" t="s">
        <v>41</v>
      </c>
      <c r="B41" s="36">
        <f>J35</f>
        <v>2268484</v>
      </c>
      <c r="C41" s="35"/>
      <c r="D41" s="33" t="s">
        <v>42</v>
      </c>
      <c r="E41" s="34">
        <f>G35/B39</f>
        <v>725.8763081</v>
      </c>
      <c r="F41" s="61"/>
      <c r="G41" s="205"/>
      <c r="H41" s="161"/>
      <c r="I41" s="157"/>
      <c r="J41" s="160"/>
      <c r="K41" s="161"/>
      <c r="L41" s="206"/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3"/>
      <c r="Y41" s="3"/>
      <c r="Z41" s="3"/>
      <c r="AA41" s="3"/>
      <c r="AB41" s="3"/>
      <c r="AC41" s="3"/>
      <c r="AD41" s="3"/>
      <c r="AE41" s="3"/>
    </row>
    <row r="42">
      <c r="A42" s="31" t="s">
        <v>43</v>
      </c>
      <c r="B42" s="36">
        <f>L35</f>
        <v>591945</v>
      </c>
      <c r="C42" s="35"/>
      <c r="D42" s="33" t="s">
        <v>43</v>
      </c>
      <c r="E42" s="34">
        <f>B42/B39</f>
        <v>101.5517241</v>
      </c>
      <c r="F42" s="35"/>
      <c r="G42" s="205"/>
      <c r="H42" s="161"/>
      <c r="I42" s="157"/>
      <c r="J42" s="160"/>
      <c r="K42" s="161"/>
      <c r="L42" s="206"/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3"/>
      <c r="Y42" s="3"/>
      <c r="Z42" s="3"/>
      <c r="AA42" s="3"/>
      <c r="AB42" s="3"/>
      <c r="AC42" s="3"/>
      <c r="AD42" s="3"/>
      <c r="AE42" s="3"/>
    </row>
    <row r="43">
      <c r="A43" s="31" t="s">
        <v>44</v>
      </c>
      <c r="B43" s="36">
        <f>G35</f>
        <v>4231133</v>
      </c>
      <c r="C43" s="35"/>
      <c r="D43" s="33" t="s">
        <v>45</v>
      </c>
      <c r="E43" s="34">
        <f>B40/B39</f>
        <v>1133.199937</v>
      </c>
      <c r="F43" s="3"/>
      <c r="G43" s="205"/>
      <c r="H43" s="157"/>
      <c r="I43" s="157"/>
      <c r="J43" s="157"/>
      <c r="K43" s="157"/>
      <c r="L43" s="206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>
      <c r="A44" s="31" t="s">
        <v>46</v>
      </c>
      <c r="B44" s="36">
        <f>B40-(B41+B42+B43)</f>
        <v>-486139.57</v>
      </c>
      <c r="C44" s="37"/>
      <c r="D44" s="3"/>
      <c r="E44" s="3"/>
      <c r="F44" s="3"/>
      <c r="G44" s="3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>
      <c r="A45" s="31" t="s">
        <v>47</v>
      </c>
      <c r="B45" s="36">
        <f>B44/B40</f>
        <v>-0.07359704472</v>
      </c>
      <c r="C45" s="3"/>
      <c r="D45" s="3"/>
      <c r="E45" s="3"/>
      <c r="F45" s="3"/>
      <c r="G45" s="3"/>
      <c r="H45" s="157"/>
      <c r="I45" s="157"/>
      <c r="J45" s="157"/>
      <c r="K45" s="157"/>
      <c r="L45" s="15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>
      <c r="A46" s="276"/>
      <c r="B46" s="277"/>
      <c r="C46" s="209"/>
      <c r="D46" s="209"/>
      <c r="E46" s="209"/>
      <c r="F46" s="209"/>
      <c r="G46" s="209"/>
      <c r="H46" s="209"/>
      <c r="I46" s="209"/>
      <c r="J46" s="209"/>
      <c r="K46" s="209"/>
      <c r="L46" s="209"/>
      <c r="M46" s="209"/>
      <c r="N46" s="209"/>
      <c r="O46" s="209"/>
      <c r="P46" s="210"/>
      <c r="Q46" s="210"/>
      <c r="R46" s="210"/>
      <c r="S46" s="210"/>
      <c r="T46" s="210"/>
      <c r="U46" s="210"/>
      <c r="V46" s="210"/>
      <c r="W46" s="210"/>
      <c r="X46" s="210"/>
      <c r="Y46" s="210"/>
      <c r="Z46" s="210"/>
      <c r="AA46" s="210"/>
      <c r="AB46" s="210"/>
      <c r="AC46" s="210"/>
      <c r="AD46" s="210"/>
      <c r="AE46" s="210"/>
    </row>
    <row r="47">
      <c r="A47" s="276"/>
      <c r="B47" s="277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  <c r="AA47" s="210"/>
      <c r="AB47" s="210"/>
      <c r="AC47" s="210"/>
      <c r="AD47" s="210"/>
      <c r="AE47" s="210"/>
    </row>
    <row r="48">
      <c r="A48" s="278"/>
      <c r="B48" s="27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  <c r="AA48" s="210"/>
      <c r="AB48" s="210"/>
      <c r="AC48" s="210"/>
      <c r="AD48" s="210"/>
      <c r="AE48" s="210"/>
    </row>
    <row r="49">
      <c r="A49" s="1" t="s">
        <v>178</v>
      </c>
      <c r="B49" s="2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8" t="s">
        <v>49</v>
      </c>
      <c r="B51" s="24" t="s">
        <v>3</v>
      </c>
      <c r="C51" s="24" t="s">
        <v>4</v>
      </c>
      <c r="D51" s="24" t="s">
        <v>5</v>
      </c>
      <c r="E51" s="39" t="s">
        <v>6</v>
      </c>
      <c r="F51" s="24" t="s">
        <v>7</v>
      </c>
      <c r="G51" s="24" t="s">
        <v>9</v>
      </c>
      <c r="H51" s="24" t="s">
        <v>11</v>
      </c>
      <c r="I51" s="24" t="s">
        <v>12</v>
      </c>
      <c r="J51" s="24" t="s">
        <v>50</v>
      </c>
      <c r="K51" s="24" t="s">
        <v>51</v>
      </c>
      <c r="L51" s="39" t="s">
        <v>16</v>
      </c>
      <c r="M51" s="24" t="s">
        <v>52</v>
      </c>
      <c r="N51" s="40" t="s">
        <v>53</v>
      </c>
      <c r="O51" s="3"/>
    </row>
    <row r="52">
      <c r="A52" s="24" t="s">
        <v>21</v>
      </c>
      <c r="B52" s="245">
        <f>434949.67+167454.21+1899</f>
        <v>604302.88</v>
      </c>
      <c r="C52" s="213">
        <f t="shared" ref="C52:C68" si="27">K52+H52+M52</f>
        <v>317168.69</v>
      </c>
      <c r="D52" s="214">
        <f t="shared" ref="D52:D59" si="28">B52-C52</f>
        <v>287134.19</v>
      </c>
      <c r="E52" s="215">
        <f t="shared" ref="E52:E68" si="29">D52/B52*100</f>
        <v>47.51494648</v>
      </c>
      <c r="F52" s="216">
        <f t="shared" ref="F52:F68" si="30">D52/I52</f>
        <v>493.3577148</v>
      </c>
      <c r="G52" s="217">
        <f>512+130+1</f>
        <v>643</v>
      </c>
      <c r="H52" s="218">
        <f>220*I52</f>
        <v>128040</v>
      </c>
      <c r="I52" s="219">
        <f>453+129</f>
        <v>582</v>
      </c>
      <c r="J52" s="218">
        <f t="shared" ref="J52:J55" si="31">G52-I52</f>
        <v>61</v>
      </c>
      <c r="K52" s="246">
        <f>(154009.79+30907.36+283.39 )-(98903.85) </f>
        <v>86296.69</v>
      </c>
      <c r="L52" s="50">
        <f>J52/I52*100</f>
        <v>10.48109966</v>
      </c>
      <c r="M52" s="304">
        <v>102832.0</v>
      </c>
      <c r="N52" s="52">
        <f>J52*999</f>
        <v>60939</v>
      </c>
      <c r="O52" s="53">
        <f t="shared" ref="O52:O68" si="32">B52/M52</f>
        <v>5.876603392</v>
      </c>
      <c r="P52" s="54" t="str">
        <f t="shared" ref="P52:P67" si="33">B52/#REF!*100</f>
        <v>#REF!</v>
      </c>
    </row>
    <row r="53">
      <c r="A53" s="24" t="s">
        <v>23</v>
      </c>
      <c r="B53" s="247">
        <f>121716+156197.79</f>
        <v>277913.79</v>
      </c>
      <c r="C53" s="213">
        <f t="shared" si="27"/>
        <v>173153.02</v>
      </c>
      <c r="D53" s="214">
        <f t="shared" si="28"/>
        <v>104760.77</v>
      </c>
      <c r="E53" s="215">
        <f t="shared" si="29"/>
        <v>37.69541986</v>
      </c>
      <c r="F53" s="216">
        <f t="shared" si="30"/>
        <v>482.7685253</v>
      </c>
      <c r="G53" s="217">
        <f>84+155</f>
        <v>239</v>
      </c>
      <c r="H53" s="218">
        <f>304*I53</f>
        <v>65968</v>
      </c>
      <c r="I53" s="219">
        <f>84+133</f>
        <v>217</v>
      </c>
      <c r="J53" s="218">
        <f t="shared" si="31"/>
        <v>22</v>
      </c>
      <c r="K53" s="246">
        <f>(21882.26+52072.52 )-14346.76</f>
        <v>59608.02</v>
      </c>
      <c r="L53" s="50">
        <f t="shared" ref="L53:L68" si="34">J53/G53*100</f>
        <v>9.205020921</v>
      </c>
      <c r="M53" s="304">
        <v>47577.0</v>
      </c>
      <c r="N53" s="52">
        <f>J53*1119</f>
        <v>24618</v>
      </c>
      <c r="O53" s="53">
        <f t="shared" si="32"/>
        <v>5.8413475</v>
      </c>
      <c r="P53" s="54" t="str">
        <f t="shared" si="33"/>
        <v>#REF!</v>
      </c>
    </row>
    <row r="54">
      <c r="A54" s="24" t="s">
        <v>25</v>
      </c>
      <c r="B54" s="245">
        <f>9565.24</f>
        <v>9565.24</v>
      </c>
      <c r="C54" s="213">
        <f t="shared" si="27"/>
        <v>12642.1</v>
      </c>
      <c r="D54" s="214">
        <f t="shared" si="28"/>
        <v>-3076.86</v>
      </c>
      <c r="E54" s="215">
        <f t="shared" si="29"/>
        <v>-32.1670967</v>
      </c>
      <c r="F54" s="216">
        <f t="shared" si="30"/>
        <v>-512.81</v>
      </c>
      <c r="G54" s="217">
        <f>10</f>
        <v>10</v>
      </c>
      <c r="H54" s="218">
        <f> 662*I54</f>
        <v>3972</v>
      </c>
      <c r="I54" s="219">
        <f>6</f>
        <v>6</v>
      </c>
      <c r="J54" s="218">
        <f t="shared" si="31"/>
        <v>4</v>
      </c>
      <c r="K54" s="246">
        <f>3439.1 </f>
        <v>3439.1</v>
      </c>
      <c r="L54" s="50">
        <f t="shared" si="34"/>
        <v>40</v>
      </c>
      <c r="M54" s="283">
        <v>5231.0</v>
      </c>
      <c r="N54" s="52">
        <f>J54*1799</f>
        <v>7196</v>
      </c>
      <c r="O54" s="53">
        <f t="shared" si="32"/>
        <v>1.828568151</v>
      </c>
      <c r="P54" s="54" t="str">
        <f t="shared" si="33"/>
        <v>#REF!</v>
      </c>
    </row>
    <row r="55">
      <c r="A55" s="24" t="s">
        <v>26</v>
      </c>
      <c r="B55" s="245">
        <f>36308.68+230929.11+899</f>
        <v>268136.79</v>
      </c>
      <c r="C55" s="213">
        <f t="shared" si="27"/>
        <v>86722.48</v>
      </c>
      <c r="D55" s="214">
        <f t="shared" si="28"/>
        <v>181414.31</v>
      </c>
      <c r="E55" s="215">
        <f t="shared" si="29"/>
        <v>67.65737369</v>
      </c>
      <c r="F55" s="216">
        <f t="shared" si="30"/>
        <v>307.4818814</v>
      </c>
      <c r="G55" s="217">
        <f>56+565+1</f>
        <v>622</v>
      </c>
      <c r="H55" s="218">
        <f>9585.96 </f>
        <v>9585.96</v>
      </c>
      <c r="I55" s="219">
        <f>56+533+1</f>
        <v>590</v>
      </c>
      <c r="J55" s="218">
        <f t="shared" si="31"/>
        <v>32</v>
      </c>
      <c r="K55" s="246">
        <f>(9585.96+63972.15+34)-(4848.98+26861.61)</f>
        <v>41881.52</v>
      </c>
      <c r="L55" s="50">
        <f t="shared" si="34"/>
        <v>5.144694534</v>
      </c>
      <c r="M55" s="304">
        <v>35255.0</v>
      </c>
      <c r="N55" s="52">
        <f>J55*499</f>
        <v>15968</v>
      </c>
      <c r="O55" s="53">
        <f t="shared" si="32"/>
        <v>7.605638633</v>
      </c>
      <c r="P55" s="54" t="str">
        <f t="shared" si="33"/>
        <v>#REF!</v>
      </c>
      <c r="Q55" s="245">
        <f>36308.68+899+230929.11</f>
        <v>268136.79</v>
      </c>
      <c r="R55" s="213">
        <f>Z55+W55+AB55</f>
        <v>84861.88</v>
      </c>
      <c r="S55" s="214">
        <f>Q55-R55</f>
        <v>183274.91</v>
      </c>
      <c r="T55" s="215">
        <f>S55/Q55*100</f>
        <v>68.35127324</v>
      </c>
      <c r="U55" s="216">
        <f>S55/X55</f>
        <v>181.280821</v>
      </c>
      <c r="V55" s="217">
        <f>56+1+565</f>
        <v>622</v>
      </c>
      <c r="W55" s="218">
        <f>9585.96 </f>
        <v>9585.96</v>
      </c>
      <c r="X55" s="219">
        <f>56+1+421+533</f>
        <v>1011</v>
      </c>
      <c r="Y55" s="218">
        <f>V55-X55</f>
        <v>-389</v>
      </c>
      <c r="Z55" s="246">
        <f>(9585.96+34+63972.15)-(6709.58+26861.61)</f>
        <v>40020.92</v>
      </c>
      <c r="AA55" s="50">
        <f>Y55/V55*100</f>
        <v>-62.54019293</v>
      </c>
      <c r="AB55" s="304">
        <v>35255.0</v>
      </c>
      <c r="AC55" s="52">
        <f>Y55*499</f>
        <v>-194111</v>
      </c>
      <c r="AD55" s="53">
        <f>Q55/AB55</f>
        <v>7.605638633</v>
      </c>
      <c r="AE55" s="54" t="str">
        <f>Q55/#REF!*100</f>
        <v>#REF!</v>
      </c>
    </row>
    <row r="56">
      <c r="A56" s="24" t="s">
        <v>29</v>
      </c>
      <c r="B56" s="245">
        <f>151407.6+3174</f>
        <v>154581.6</v>
      </c>
      <c r="C56" s="213">
        <f t="shared" si="27"/>
        <v>142391.54</v>
      </c>
      <c r="D56" s="214">
        <f t="shared" si="28"/>
        <v>12190.06</v>
      </c>
      <c r="E56" s="215">
        <f t="shared" si="29"/>
        <v>7.885841523</v>
      </c>
      <c r="F56" s="216">
        <f t="shared" si="30"/>
        <v>95.98472441</v>
      </c>
      <c r="G56" s="217">
        <f>160+2</f>
        <v>162</v>
      </c>
      <c r="H56" s="218">
        <f>308*I56</f>
        <v>39116</v>
      </c>
      <c r="I56" s="219">
        <f>125+2</f>
        <v>127</v>
      </c>
      <c r="J56" s="218">
        <f>35</f>
        <v>35</v>
      </c>
      <c r="K56" s="246">
        <f>(87643.03+1256.56)-(46876.09+8.96)</f>
        <v>42014.54</v>
      </c>
      <c r="L56" s="50">
        <f t="shared" si="34"/>
        <v>21.60493827</v>
      </c>
      <c r="M56" s="304">
        <v>61261.0</v>
      </c>
      <c r="N56" s="52">
        <f>J56*1249</f>
        <v>43715</v>
      </c>
      <c r="O56" s="53">
        <f t="shared" si="32"/>
        <v>2.523328055</v>
      </c>
      <c r="P56" s="54" t="str">
        <f t="shared" si="33"/>
        <v>#REF!</v>
      </c>
    </row>
    <row r="57">
      <c r="A57" s="24" t="s">
        <v>31</v>
      </c>
      <c r="B57" s="245">
        <f>62.53</f>
        <v>62.53</v>
      </c>
      <c r="C57" s="213">
        <f t="shared" si="27"/>
        <v>4309.17</v>
      </c>
      <c r="D57" s="214">
        <f t="shared" si="28"/>
        <v>-4246.64</v>
      </c>
      <c r="E57" s="215">
        <f t="shared" si="29"/>
        <v>-6791.364145</v>
      </c>
      <c r="F57" s="216">
        <f t="shared" si="30"/>
        <v>-1061.66</v>
      </c>
      <c r="G57" s="217">
        <f>3</f>
        <v>3</v>
      </c>
      <c r="H57" s="218">
        <f>435*I57</f>
        <v>1740</v>
      </c>
      <c r="I57" s="219">
        <f>4</f>
        <v>4</v>
      </c>
      <c r="J57" s="218">
        <f t="shared" ref="J57:J68" si="35">G57-I57</f>
        <v>-1</v>
      </c>
      <c r="K57" s="246">
        <f>(2539.28)-(1557.11)</f>
        <v>982.17</v>
      </c>
      <c r="L57" s="50">
        <f t="shared" si="34"/>
        <v>-33.33333333</v>
      </c>
      <c r="M57" s="304">
        <v>1587.0</v>
      </c>
      <c r="N57" s="52">
        <f>J57*1349</f>
        <v>-1349</v>
      </c>
      <c r="O57" s="53">
        <f t="shared" si="32"/>
        <v>0.03940138626</v>
      </c>
      <c r="P57" s="54" t="str">
        <f t="shared" si="33"/>
        <v>#REF!</v>
      </c>
    </row>
    <row r="58">
      <c r="A58" s="24" t="s">
        <v>33</v>
      </c>
      <c r="B58" s="245">
        <f>154204.94+9912.62</f>
        <v>164117.56</v>
      </c>
      <c r="C58" s="213">
        <f t="shared" si="27"/>
        <v>123737.69</v>
      </c>
      <c r="D58" s="214">
        <f t="shared" si="28"/>
        <v>40379.87</v>
      </c>
      <c r="E58" s="215">
        <f t="shared" si="29"/>
        <v>24.60423492</v>
      </c>
      <c r="F58" s="216">
        <f t="shared" si="30"/>
        <v>475.0572941</v>
      </c>
      <c r="G58" s="217">
        <f>98+5</f>
        <v>103</v>
      </c>
      <c r="H58" s="218">
        <f>778*I58</f>
        <v>66130</v>
      </c>
      <c r="I58" s="219">
        <f>81+4
</f>
        <v>85</v>
      </c>
      <c r="J58" s="218">
        <f t="shared" si="35"/>
        <v>18</v>
      </c>
      <c r="K58" s="246">
        <f>(45003.36)-(3491.67) </f>
        <v>41511.69</v>
      </c>
      <c r="L58" s="50">
        <f t="shared" si="34"/>
        <v>17.47572816</v>
      </c>
      <c r="M58" s="304">
        <v>16096.0</v>
      </c>
      <c r="N58" s="52">
        <f>J58*1999</f>
        <v>35982</v>
      </c>
      <c r="O58" s="53">
        <f t="shared" si="32"/>
        <v>10.19617048</v>
      </c>
      <c r="P58" s="54" t="str">
        <f t="shared" si="33"/>
        <v>#REF!</v>
      </c>
    </row>
    <row r="59">
      <c r="A59" s="24" t="s">
        <v>131</v>
      </c>
      <c r="B59" s="245">
        <f>9912.62</f>
        <v>9912.62</v>
      </c>
      <c r="C59" s="213">
        <f t="shared" si="27"/>
        <v>9207.47</v>
      </c>
      <c r="D59" s="214">
        <f t="shared" si="28"/>
        <v>705.15</v>
      </c>
      <c r="E59" s="215">
        <f t="shared" si="29"/>
        <v>7.113659154</v>
      </c>
      <c r="F59" s="216">
        <f t="shared" si="30"/>
        <v>176.2875</v>
      </c>
      <c r="G59" s="217">
        <f>5
</f>
        <v>5</v>
      </c>
      <c r="H59" s="218">
        <f>(900)*I59</f>
        <v>3600</v>
      </c>
      <c r="I59" s="219">
        <f>4</f>
        <v>4</v>
      </c>
      <c r="J59" s="218">
        <f t="shared" si="35"/>
        <v>1</v>
      </c>
      <c r="K59" s="246">
        <f>5607.47 </f>
        <v>5607.47</v>
      </c>
      <c r="L59" s="50">
        <f t="shared" si="34"/>
        <v>20</v>
      </c>
      <c r="M59" s="283"/>
      <c r="N59" s="52">
        <f>J59*999</f>
        <v>999</v>
      </c>
      <c r="O59" s="53" t="str">
        <f t="shared" si="32"/>
        <v>#DIV/0!</v>
      </c>
      <c r="P59" s="54" t="str">
        <f t="shared" si="33"/>
        <v>#REF!</v>
      </c>
    </row>
    <row r="60">
      <c r="A60" s="24" t="s">
        <v>54</v>
      </c>
      <c r="B60" s="245">
        <f>4792</f>
        <v>4792</v>
      </c>
      <c r="C60" s="213">
        <f t="shared" si="27"/>
        <v>2669.52</v>
      </c>
      <c r="D60" s="214"/>
      <c r="E60" s="215">
        <f t="shared" si="29"/>
        <v>0</v>
      </c>
      <c r="F60" s="216">
        <f t="shared" si="30"/>
        <v>0</v>
      </c>
      <c r="G60" s="217">
        <f>8</f>
        <v>8</v>
      </c>
      <c r="H60" s="218">
        <f>200*I60</f>
        <v>1600</v>
      </c>
      <c r="I60" s="219">
        <f>8</f>
        <v>8</v>
      </c>
      <c r="J60" s="218">
        <f t="shared" si="35"/>
        <v>0</v>
      </c>
      <c r="K60" s="246">
        <f>1069.52 </f>
        <v>1069.52</v>
      </c>
      <c r="L60" s="50">
        <f t="shared" si="34"/>
        <v>0</v>
      </c>
      <c r="M60" s="283"/>
      <c r="N60" s="52">
        <f>J60*599</f>
        <v>0</v>
      </c>
      <c r="O60" s="53" t="str">
        <f t="shared" si="32"/>
        <v>#DIV/0!</v>
      </c>
      <c r="P60" s="54" t="str">
        <f t="shared" si="33"/>
        <v>#REF!</v>
      </c>
    </row>
    <row r="61">
      <c r="A61" s="24" t="s">
        <v>55</v>
      </c>
      <c r="B61" s="248"/>
      <c r="C61" s="213">
        <f t="shared" si="27"/>
        <v>0</v>
      </c>
      <c r="D61" s="214">
        <f t="shared" ref="D61:D68" si="36">B61-C61</f>
        <v>0</v>
      </c>
      <c r="E61" s="215" t="str">
        <f t="shared" si="29"/>
        <v>#DIV/0!</v>
      </c>
      <c r="F61" s="216" t="str">
        <f t="shared" si="30"/>
        <v>#DIV/0!</v>
      </c>
      <c r="G61" s="249"/>
      <c r="H61" s="218">
        <f>(270+220)*I61</f>
        <v>0</v>
      </c>
      <c r="I61" s="250"/>
      <c r="J61" s="218">
        <f t="shared" si="35"/>
        <v>0</v>
      </c>
      <c r="K61" s="251"/>
      <c r="L61" s="50" t="str">
        <f t="shared" si="34"/>
        <v>#DIV/0!</v>
      </c>
      <c r="M61" s="186"/>
      <c r="N61" s="56"/>
      <c r="O61" s="53" t="str">
        <f t="shared" si="32"/>
        <v>#DIV/0!</v>
      </c>
      <c r="P61" s="54" t="str">
        <f t="shared" si="33"/>
        <v>#REF!</v>
      </c>
    </row>
    <row r="62">
      <c r="A62" s="24" t="s">
        <v>56</v>
      </c>
      <c r="B62" s="245"/>
      <c r="C62" s="213">
        <f t="shared" si="27"/>
        <v>0</v>
      </c>
      <c r="D62" s="214">
        <f t="shared" si="36"/>
        <v>0</v>
      </c>
      <c r="E62" s="215" t="str">
        <f t="shared" si="29"/>
        <v>#DIV/0!</v>
      </c>
      <c r="F62" s="216" t="str">
        <f t="shared" si="30"/>
        <v>#DIV/0!</v>
      </c>
      <c r="G62" s="217"/>
      <c r="H62" s="218">
        <f>(220+304)*I62</f>
        <v>0</v>
      </c>
      <c r="I62" s="219"/>
      <c r="J62" s="218">
        <f t="shared" si="35"/>
        <v>0</v>
      </c>
      <c r="K62" s="246"/>
      <c r="L62" s="50" t="str">
        <f t="shared" si="34"/>
        <v>#DIV/0!</v>
      </c>
      <c r="M62" s="28"/>
      <c r="N62" s="52">
        <f>J62*2199</f>
        <v>0</v>
      </c>
      <c r="O62" s="53" t="str">
        <f t="shared" si="32"/>
        <v>#DIV/0!</v>
      </c>
      <c r="P62" s="54" t="str">
        <f t="shared" si="33"/>
        <v>#REF!</v>
      </c>
    </row>
    <row r="63">
      <c r="A63" s="24" t="s">
        <v>57</v>
      </c>
      <c r="B63" s="245"/>
      <c r="C63" s="213">
        <f t="shared" si="27"/>
        <v>0</v>
      </c>
      <c r="D63" s="214">
        <f t="shared" si="36"/>
        <v>0</v>
      </c>
      <c r="E63" s="215" t="str">
        <f t="shared" si="29"/>
        <v>#DIV/0!</v>
      </c>
      <c r="F63" s="216" t="str">
        <f t="shared" si="30"/>
        <v>#DIV/0!</v>
      </c>
      <c r="G63" s="217"/>
      <c r="H63" s="218">
        <f>(220+308)*I63</f>
        <v>0</v>
      </c>
      <c r="I63" s="219"/>
      <c r="J63" s="218">
        <f t="shared" si="35"/>
        <v>0</v>
      </c>
      <c r="K63" s="246"/>
      <c r="L63" s="50" t="str">
        <f t="shared" si="34"/>
        <v>#DIV/0!</v>
      </c>
      <c r="M63" s="28"/>
      <c r="N63" s="52">
        <f>J63*999</f>
        <v>0</v>
      </c>
      <c r="O63" s="53" t="str">
        <f t="shared" si="32"/>
        <v>#DIV/0!</v>
      </c>
      <c r="P63" s="54" t="str">
        <f t="shared" si="33"/>
        <v>#REF!</v>
      </c>
    </row>
    <row r="64">
      <c r="A64" s="24" t="s">
        <v>58</v>
      </c>
      <c r="B64" s="245">
        <f>4797</f>
        <v>4797</v>
      </c>
      <c r="C64" s="213">
        <f t="shared" si="27"/>
        <v>2280.67</v>
      </c>
      <c r="D64" s="214">
        <f t="shared" si="36"/>
        <v>2516.33</v>
      </c>
      <c r="E64" s="215">
        <f t="shared" si="29"/>
        <v>52.45632687</v>
      </c>
      <c r="F64" s="216">
        <f t="shared" si="30"/>
        <v>838.7766667</v>
      </c>
      <c r="G64" s="217">
        <f>3</f>
        <v>3</v>
      </c>
      <c r="H64" s="218">
        <f>(304+184)*I64</f>
        <v>1464</v>
      </c>
      <c r="I64" s="219">
        <f>3</f>
        <v>3</v>
      </c>
      <c r="J64" s="218">
        <f t="shared" si="35"/>
        <v>0</v>
      </c>
      <c r="K64" s="246">
        <f>816.67 </f>
        <v>816.67</v>
      </c>
      <c r="L64" s="50">
        <f t="shared" si="34"/>
        <v>0</v>
      </c>
      <c r="M64" s="282"/>
      <c r="N64" s="52">
        <f>J64*1499</f>
        <v>0</v>
      </c>
      <c r="O64" s="53" t="str">
        <f t="shared" si="32"/>
        <v>#DIV/0!</v>
      </c>
      <c r="P64" s="54" t="str">
        <f t="shared" si="33"/>
        <v>#REF!</v>
      </c>
    </row>
    <row r="65">
      <c r="A65" s="24" t="s">
        <v>59</v>
      </c>
      <c r="B65" s="245">
        <f>4368.1</f>
        <v>4368.1</v>
      </c>
      <c r="C65" s="213">
        <f t="shared" si="27"/>
        <v>0</v>
      </c>
      <c r="D65" s="214">
        <f t="shared" si="36"/>
        <v>4368.1</v>
      </c>
      <c r="E65" s="215">
        <f t="shared" si="29"/>
        <v>100</v>
      </c>
      <c r="F65" s="216" t="str">
        <f t="shared" si="30"/>
        <v>#DIV/0!</v>
      </c>
      <c r="G65" s="217"/>
      <c r="H65" s="218">
        <f>(304+308)*I65</f>
        <v>0</v>
      </c>
      <c r="I65" s="219"/>
      <c r="J65" s="218">
        <f t="shared" si="35"/>
        <v>0</v>
      </c>
      <c r="K65" s="246"/>
      <c r="L65" s="50" t="str">
        <f t="shared" si="34"/>
        <v>#DIV/0!</v>
      </c>
      <c r="M65" s="283"/>
      <c r="N65" s="52">
        <f t="shared" ref="N65:N68" si="37">J65*999</f>
        <v>0</v>
      </c>
      <c r="O65" s="53" t="str">
        <f t="shared" si="32"/>
        <v>#DIV/0!</v>
      </c>
      <c r="P65" s="54" t="str">
        <f t="shared" si="33"/>
        <v>#REF!</v>
      </c>
    </row>
    <row r="66">
      <c r="A66" s="24" t="s">
        <v>161</v>
      </c>
      <c r="B66" s="245"/>
      <c r="C66" s="213">
        <f t="shared" si="27"/>
        <v>0</v>
      </c>
      <c r="D66" s="214">
        <f t="shared" si="36"/>
        <v>0</v>
      </c>
      <c r="E66" s="215" t="str">
        <f t="shared" si="29"/>
        <v>#DIV/0!</v>
      </c>
      <c r="F66" s="216" t="str">
        <f t="shared" si="30"/>
        <v>#DIV/0!</v>
      </c>
      <c r="G66" s="217"/>
      <c r="H66" s="218">
        <f>(1900)*I66</f>
        <v>0</v>
      </c>
      <c r="I66" s="219"/>
      <c r="J66" s="218">
        <f t="shared" si="35"/>
        <v>0</v>
      </c>
      <c r="K66" s="246"/>
      <c r="L66" s="50" t="str">
        <f t="shared" si="34"/>
        <v>#DIV/0!</v>
      </c>
      <c r="M66" s="186"/>
      <c r="N66" s="52">
        <f t="shared" si="37"/>
        <v>0</v>
      </c>
      <c r="O66" s="53" t="str">
        <f t="shared" si="32"/>
        <v>#DIV/0!</v>
      </c>
      <c r="P66" s="54" t="str">
        <f t="shared" si="33"/>
        <v>#REF!</v>
      </c>
    </row>
    <row r="67">
      <c r="A67" s="24" t="s">
        <v>149</v>
      </c>
      <c r="B67" s="245">
        <f> 28067.14+3598+1998+1799</f>
        <v>35462.14</v>
      </c>
      <c r="C67" s="213">
        <f t="shared" si="27"/>
        <v>29956.91</v>
      </c>
      <c r="D67" s="214">
        <f t="shared" si="36"/>
        <v>5505.23</v>
      </c>
      <c r="E67" s="215">
        <f t="shared" si="29"/>
        <v>15.52424642</v>
      </c>
      <c r="F67" s="216">
        <f t="shared" si="30"/>
        <v>161.9185294</v>
      </c>
      <c r="G67" s="217">
        <f>1+31+2+2</f>
        <v>36</v>
      </c>
      <c r="H67" s="218">
        <f t="shared" ref="H67:H68" si="38">(330)*I67</f>
        <v>11220</v>
      </c>
      <c r="I67" s="219">
        <f>1+29+2+2</f>
        <v>34</v>
      </c>
      <c r="J67" s="218">
        <f t="shared" si="35"/>
        <v>2</v>
      </c>
      <c r="K67" s="246">
        <f>5876.73+432.67+5876.73+578.78 </f>
        <v>12764.91</v>
      </c>
      <c r="L67" s="50">
        <f t="shared" si="34"/>
        <v>5.555555556</v>
      </c>
      <c r="M67" s="283">
        <f>5816+156</f>
        <v>5972</v>
      </c>
      <c r="N67" s="52">
        <f t="shared" si="37"/>
        <v>1998</v>
      </c>
      <c r="O67" s="53">
        <f t="shared" si="32"/>
        <v>5.938067649</v>
      </c>
      <c r="P67" s="54" t="str">
        <f t="shared" si="33"/>
        <v>#REF!</v>
      </c>
    </row>
    <row r="68">
      <c r="A68" s="24" t="s">
        <v>157</v>
      </c>
      <c r="B68" s="245">
        <f>43477.83</f>
        <v>43477.83</v>
      </c>
      <c r="C68" s="213">
        <f t="shared" si="27"/>
        <v>21392.26</v>
      </c>
      <c r="D68" s="214">
        <f t="shared" si="36"/>
        <v>22085.57</v>
      </c>
      <c r="E68" s="215">
        <f t="shared" si="29"/>
        <v>50.7973144</v>
      </c>
      <c r="F68" s="216">
        <f t="shared" si="30"/>
        <v>408.992037</v>
      </c>
      <c r="G68" s="217">
        <f>57</f>
        <v>57</v>
      </c>
      <c r="H68" s="218">
        <f t="shared" si="38"/>
        <v>17820</v>
      </c>
      <c r="I68" s="219">
        <f>54</f>
        <v>54</v>
      </c>
      <c r="J68" s="218">
        <f t="shared" si="35"/>
        <v>3</v>
      </c>
      <c r="K68" s="246">
        <f>41312.85 -37740.59</f>
        <v>3572.26</v>
      </c>
      <c r="L68" s="50">
        <f t="shared" si="34"/>
        <v>5.263157895</v>
      </c>
      <c r="M68" s="283"/>
      <c r="N68" s="52">
        <f t="shared" si="37"/>
        <v>2997</v>
      </c>
      <c r="O68" s="53" t="str">
        <f t="shared" si="32"/>
        <v>#DIV/0!</v>
      </c>
      <c r="P68" s="54"/>
    </row>
    <row r="69" ht="14.25" customHeight="1">
      <c r="A69" s="3" t="s">
        <v>38</v>
      </c>
      <c r="B69" s="68">
        <f t="shared" ref="B69:D69" si="39">SUM(B52:B68)</f>
        <v>1581490.08</v>
      </c>
      <c r="C69" s="68">
        <f t="shared" si="39"/>
        <v>925631.52</v>
      </c>
      <c r="D69" s="53">
        <f t="shared" si="39"/>
        <v>653736.08</v>
      </c>
      <c r="E69" s="252"/>
      <c r="F69" s="252"/>
      <c r="G69" s="41">
        <f t="shared" ref="G69:I69" si="40">SUM(G52:G68)</f>
        <v>1891</v>
      </c>
      <c r="H69" s="41">
        <f t="shared" si="40"/>
        <v>350255.96</v>
      </c>
      <c r="I69" s="41">
        <f t="shared" si="40"/>
        <v>1714</v>
      </c>
      <c r="J69" s="3"/>
      <c r="K69" s="68">
        <f>SUM(K52:K68)</f>
        <v>299564.56</v>
      </c>
      <c r="L69" s="252"/>
      <c r="M69" s="68">
        <f>SUM(M52:M68)</f>
        <v>275811</v>
      </c>
      <c r="N69" s="3"/>
      <c r="O69" s="54"/>
    </row>
    <row r="72">
      <c r="A72" s="115" t="s">
        <v>40</v>
      </c>
      <c r="B72" s="116">
        <f>B69</f>
        <v>1581490.08</v>
      </c>
      <c r="C72" s="3"/>
      <c r="D72" s="3"/>
      <c r="E72" s="3"/>
      <c r="F72" s="3"/>
    </row>
    <row r="73">
      <c r="A73" s="117" t="s">
        <v>41</v>
      </c>
      <c r="B73" s="118">
        <f>H69</f>
        <v>350255.96</v>
      </c>
      <c r="C73" s="3"/>
      <c r="D73" s="30" t="s">
        <v>39</v>
      </c>
      <c r="E73" s="3"/>
      <c r="F73" s="3"/>
      <c r="G73" s="58"/>
    </row>
    <row r="74">
      <c r="A74" s="119" t="s">
        <v>143</v>
      </c>
      <c r="B74" s="120">
        <v>190954.0</v>
      </c>
      <c r="C74" s="3"/>
      <c r="D74" s="33" t="s">
        <v>41</v>
      </c>
      <c r="E74" s="34">
        <f>B73/I69</f>
        <v>204.350035</v>
      </c>
      <c r="F74" s="59"/>
      <c r="I74" s="60">
        <f>B75/I69</f>
        <v>62.28121354</v>
      </c>
    </row>
    <row r="75">
      <c r="A75" s="119" t="s">
        <v>61</v>
      </c>
      <c r="B75" s="120">
        <v>106750.0</v>
      </c>
      <c r="C75" s="3"/>
      <c r="D75" s="33"/>
      <c r="E75" s="34"/>
      <c r="F75" s="59"/>
    </row>
    <row r="76">
      <c r="A76" s="121" t="s">
        <v>44</v>
      </c>
      <c r="B76" s="122">
        <f>M69</f>
        <v>275811</v>
      </c>
      <c r="C76" s="3"/>
      <c r="D76" s="33" t="s">
        <v>42</v>
      </c>
      <c r="E76" s="34">
        <f>B76/I69</f>
        <v>160.9165694</v>
      </c>
      <c r="F76" s="59"/>
    </row>
    <row r="77">
      <c r="A77" s="123" t="s">
        <v>62</v>
      </c>
      <c r="B77" s="124">
        <f>B72-SUM(B73:B76)</f>
        <v>657719.12</v>
      </c>
      <c r="C77" s="3"/>
      <c r="D77" s="33" t="s">
        <v>63</v>
      </c>
      <c r="E77" s="34">
        <f>B74/I69</f>
        <v>111.4084014</v>
      </c>
      <c r="F77" s="61"/>
      <c r="H77" s="60">
        <f>B69/I69</f>
        <v>922.6896616</v>
      </c>
    </row>
    <row r="78">
      <c r="A78" s="125" t="s">
        <v>47</v>
      </c>
      <c r="B78" s="126">
        <f>B77/B72*100</f>
        <v>41.5885707</v>
      </c>
      <c r="C78" s="3"/>
      <c r="D78" s="33" t="s">
        <v>45</v>
      </c>
      <c r="E78" s="34">
        <f>B72/I69</f>
        <v>922.6896616</v>
      </c>
      <c r="F78" s="3"/>
    </row>
    <row r="85">
      <c r="A85" s="1" t="s">
        <v>178</v>
      </c>
      <c r="B85" s="194" t="s">
        <v>64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3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8" t="s">
        <v>49</v>
      </c>
      <c r="B87" s="176" t="s">
        <v>3</v>
      </c>
      <c r="C87" s="24" t="s">
        <v>4</v>
      </c>
      <c r="D87" s="24" t="s">
        <v>5</v>
      </c>
      <c r="E87" s="39" t="s">
        <v>6</v>
      </c>
      <c r="F87" s="24" t="s">
        <v>7</v>
      </c>
      <c r="G87" s="24" t="s">
        <v>9</v>
      </c>
      <c r="H87" s="24" t="s">
        <v>11</v>
      </c>
      <c r="I87" s="24" t="s">
        <v>12</v>
      </c>
      <c r="J87" s="24" t="s">
        <v>50</v>
      </c>
      <c r="K87" s="24" t="s">
        <v>65</v>
      </c>
      <c r="L87" s="39" t="s">
        <v>16</v>
      </c>
      <c r="M87" s="24" t="s">
        <v>52</v>
      </c>
      <c r="N87" s="3"/>
    </row>
    <row r="88">
      <c r="A88" s="42" t="s">
        <v>21</v>
      </c>
      <c r="B88" s="243">
        <f>4364</f>
        <v>4364</v>
      </c>
      <c r="C88" s="44">
        <f t="shared" ref="C88:C96" si="41">K88+H88</f>
        <v>2340</v>
      </c>
      <c r="D88" s="45">
        <f t="shared" ref="D88:D101" si="42">B88-C88</f>
        <v>2024</v>
      </c>
      <c r="E88" s="11">
        <f t="shared" ref="E88:E101" si="43">D88/B88*100</f>
        <v>46.37946838</v>
      </c>
      <c r="F88" s="46">
        <f t="shared" ref="F88:F101" si="44">D88/I88</f>
        <v>337.3333333</v>
      </c>
      <c r="G88" s="284">
        <f>10</f>
        <v>10</v>
      </c>
      <c r="H88" s="14">
        <f>220*I88</f>
        <v>1320</v>
      </c>
      <c r="I88" s="254">
        <f>6</f>
        <v>6</v>
      </c>
      <c r="J88" s="14">
        <f t="shared" ref="J88:J101" si="45">G88-I88</f>
        <v>4</v>
      </c>
      <c r="K88" s="255">
        <f>1020</f>
        <v>1020</v>
      </c>
      <c r="L88" s="50">
        <f t="shared" ref="L88:L101" si="46">J88/G88*100</f>
        <v>40</v>
      </c>
      <c r="M88" s="28"/>
      <c r="N88" s="3"/>
      <c r="P88" s="54"/>
    </row>
    <row r="89">
      <c r="A89" s="42" t="s">
        <v>23</v>
      </c>
      <c r="B89" s="243">
        <f>25705</f>
        <v>25705</v>
      </c>
      <c r="C89" s="44">
        <f t="shared" si="41"/>
        <v>12977</v>
      </c>
      <c r="D89" s="45">
        <f t="shared" si="42"/>
        <v>12728</v>
      </c>
      <c r="E89" s="11">
        <f t="shared" si="43"/>
        <v>49.51565843</v>
      </c>
      <c r="F89" s="46">
        <f t="shared" si="44"/>
        <v>424.2666667</v>
      </c>
      <c r="G89" s="253">
        <f>42</f>
        <v>42</v>
      </c>
      <c r="H89" s="14">
        <f>304*I89</f>
        <v>9120</v>
      </c>
      <c r="I89" s="254">
        <f>30</f>
        <v>30</v>
      </c>
      <c r="J89" s="14">
        <f t="shared" si="45"/>
        <v>12</v>
      </c>
      <c r="K89" s="255">
        <v>3857.0</v>
      </c>
      <c r="L89" s="50">
        <f t="shared" si="46"/>
        <v>28.57142857</v>
      </c>
      <c r="M89" s="28"/>
      <c r="N89" s="3"/>
      <c r="P89" s="54"/>
    </row>
    <row r="90">
      <c r="A90" s="42" t="s">
        <v>25</v>
      </c>
      <c r="B90" s="243">
        <f>3056</f>
        <v>3056</v>
      </c>
      <c r="C90" s="44">
        <f t="shared" si="41"/>
        <v>1677</v>
      </c>
      <c r="D90" s="45">
        <f t="shared" si="42"/>
        <v>1379</v>
      </c>
      <c r="E90" s="11">
        <f t="shared" si="43"/>
        <v>45.12434555</v>
      </c>
      <c r="F90" s="46">
        <f t="shared" si="44"/>
        <v>689.5</v>
      </c>
      <c r="G90" s="253">
        <v>3.0</v>
      </c>
      <c r="H90" s="14">
        <f> 662*I90</f>
        <v>1324</v>
      </c>
      <c r="I90" s="254">
        <v>2.0</v>
      </c>
      <c r="J90" s="14">
        <f t="shared" si="45"/>
        <v>1</v>
      </c>
      <c r="K90" s="255">
        <v>353.0</v>
      </c>
      <c r="L90" s="50">
        <f t="shared" si="46"/>
        <v>33.33333333</v>
      </c>
      <c r="N90" s="3"/>
      <c r="P90" s="54"/>
    </row>
    <row r="91">
      <c r="A91" s="42" t="s">
        <v>26</v>
      </c>
      <c r="B91" s="243">
        <f>38459+732</f>
        <v>39191</v>
      </c>
      <c r="C91" s="44">
        <f t="shared" si="41"/>
        <v>26121</v>
      </c>
      <c r="D91" s="45">
        <f t="shared" si="42"/>
        <v>13070</v>
      </c>
      <c r="E91" s="11">
        <f t="shared" si="43"/>
        <v>33.34949351</v>
      </c>
      <c r="F91" s="46">
        <f t="shared" si="44"/>
        <v>110.7627119</v>
      </c>
      <c r="G91" s="253">
        <f>157+2</f>
        <v>159</v>
      </c>
      <c r="H91" s="14">
        <f>184*I91</f>
        <v>21712</v>
      </c>
      <c r="I91" s="254">
        <f>117+1</f>
        <v>118</v>
      </c>
      <c r="J91" s="14">
        <f t="shared" si="45"/>
        <v>41</v>
      </c>
      <c r="K91" s="255">
        <v>4409.0</v>
      </c>
      <c r="L91" s="50">
        <f t="shared" si="46"/>
        <v>25.78616352</v>
      </c>
      <c r="M91" s="28"/>
      <c r="N91" s="3"/>
      <c r="P91" s="54"/>
    </row>
    <row r="92">
      <c r="A92" s="42" t="s">
        <v>54</v>
      </c>
      <c r="B92" s="243">
        <f>529
</f>
        <v>529</v>
      </c>
      <c r="C92" s="44">
        <f t="shared" si="41"/>
        <v>278</v>
      </c>
      <c r="D92" s="45">
        <f t="shared" si="42"/>
        <v>251</v>
      </c>
      <c r="E92" s="11">
        <f t="shared" si="43"/>
        <v>47.44801512</v>
      </c>
      <c r="F92" s="46">
        <f t="shared" si="44"/>
        <v>251</v>
      </c>
      <c r="G92" s="253">
        <v>1.0</v>
      </c>
      <c r="H92" s="14">
        <f>270*I92</f>
        <v>270</v>
      </c>
      <c r="I92" s="254">
        <v>1.0</v>
      </c>
      <c r="J92" s="14">
        <f t="shared" si="45"/>
        <v>0</v>
      </c>
      <c r="K92" s="255">
        <v>8.0</v>
      </c>
      <c r="L92" s="50">
        <f t="shared" si="46"/>
        <v>0</v>
      </c>
      <c r="M92" s="28"/>
      <c r="N92" s="3"/>
      <c r="P92" s="54"/>
    </row>
    <row r="93">
      <c r="A93" s="42" t="s">
        <v>29</v>
      </c>
      <c r="B93" s="243">
        <f>8531</f>
        <v>8531</v>
      </c>
      <c r="C93" s="44">
        <f t="shared" si="41"/>
        <v>3960</v>
      </c>
      <c r="D93" s="45">
        <f t="shared" si="42"/>
        <v>4571</v>
      </c>
      <c r="E93" s="11">
        <f t="shared" si="43"/>
        <v>53.58105732</v>
      </c>
      <c r="F93" s="46">
        <f t="shared" si="44"/>
        <v>507.8888889</v>
      </c>
      <c r="G93" s="253">
        <v>10.0</v>
      </c>
      <c r="H93" s="14">
        <f>308*I93</f>
        <v>2772</v>
      </c>
      <c r="I93" s="254">
        <v>9.0</v>
      </c>
      <c r="J93" s="14">
        <f t="shared" si="45"/>
        <v>1</v>
      </c>
      <c r="K93" s="255">
        <v>1188.0</v>
      </c>
      <c r="L93" s="50">
        <f t="shared" si="46"/>
        <v>10</v>
      </c>
      <c r="M93" s="28"/>
      <c r="N93" s="3"/>
      <c r="P93" s="54"/>
    </row>
    <row r="94">
      <c r="A94" s="42" t="s">
        <v>31</v>
      </c>
      <c r="B94" s="243"/>
      <c r="C94" s="44">
        <f t="shared" si="41"/>
        <v>0</v>
      </c>
      <c r="D94" s="45">
        <f t="shared" si="42"/>
        <v>0</v>
      </c>
      <c r="E94" s="11" t="str">
        <f t="shared" si="43"/>
        <v>#DIV/0!</v>
      </c>
      <c r="F94" s="46" t="str">
        <f t="shared" si="44"/>
        <v>#DIV/0!</v>
      </c>
      <c r="G94" s="253"/>
      <c r="H94" s="14">
        <f>435*I94</f>
        <v>0</v>
      </c>
      <c r="I94" s="254"/>
      <c r="J94" s="14">
        <f t="shared" si="45"/>
        <v>0</v>
      </c>
      <c r="K94" s="255"/>
      <c r="L94" s="50" t="str">
        <f t="shared" si="46"/>
        <v>#DIV/0!</v>
      </c>
      <c r="M94" s="28"/>
      <c r="N94" s="3"/>
      <c r="P94" s="54"/>
    </row>
    <row r="95">
      <c r="A95" s="42" t="s">
        <v>66</v>
      </c>
      <c r="B95" s="243"/>
      <c r="C95" s="44">
        <f t="shared" si="41"/>
        <v>0</v>
      </c>
      <c r="D95" s="45">
        <f t="shared" si="42"/>
        <v>0</v>
      </c>
      <c r="E95" s="11" t="str">
        <f t="shared" si="43"/>
        <v>#DIV/0!</v>
      </c>
      <c r="F95" s="46" t="str">
        <f t="shared" si="44"/>
        <v>#DIV/0!</v>
      </c>
      <c r="G95" s="253"/>
      <c r="H95" s="14">
        <f>200*I95</f>
        <v>0</v>
      </c>
      <c r="I95" s="254"/>
      <c r="J95" s="14">
        <f t="shared" si="45"/>
        <v>0</v>
      </c>
      <c r="K95" s="255"/>
      <c r="L95" s="50" t="str">
        <f t="shared" si="46"/>
        <v>#DIV/0!</v>
      </c>
      <c r="M95" s="28"/>
      <c r="N95" s="3"/>
      <c r="P95" s="54"/>
    </row>
    <row r="96">
      <c r="A96" s="42" t="s">
        <v>33</v>
      </c>
      <c r="B96" s="243">
        <f>35227
</f>
        <v>35227</v>
      </c>
      <c r="C96" s="44">
        <f t="shared" si="41"/>
        <v>21695</v>
      </c>
      <c r="D96" s="45">
        <f t="shared" si="42"/>
        <v>13532</v>
      </c>
      <c r="E96" s="11">
        <f t="shared" si="43"/>
        <v>38.41371675</v>
      </c>
      <c r="F96" s="46">
        <f t="shared" si="44"/>
        <v>644.3809524</v>
      </c>
      <c r="G96" s="253">
        <f>34</f>
        <v>34</v>
      </c>
      <c r="H96" s="14">
        <f>778*I96</f>
        <v>16338</v>
      </c>
      <c r="I96" s="254">
        <f>21</f>
        <v>21</v>
      </c>
      <c r="J96" s="14">
        <f t="shared" si="45"/>
        <v>13</v>
      </c>
      <c r="K96" s="255">
        <v>5357.0</v>
      </c>
      <c r="L96" s="50">
        <f t="shared" si="46"/>
        <v>38.23529412</v>
      </c>
      <c r="M96" s="28"/>
      <c r="N96" s="3"/>
      <c r="P96" s="54"/>
      <c r="X96" s="3"/>
    </row>
    <row r="97">
      <c r="A97" s="24" t="s">
        <v>131</v>
      </c>
      <c r="B97" s="256">
        <f>3303
</f>
        <v>3303</v>
      </c>
      <c r="C97" s="213">
        <f>K97+H97+M97</f>
        <v>1041</v>
      </c>
      <c r="D97" s="214">
        <f t="shared" si="42"/>
        <v>2262</v>
      </c>
      <c r="E97" s="215">
        <f t="shared" si="43"/>
        <v>68.48319709</v>
      </c>
      <c r="F97" s="216">
        <f t="shared" si="44"/>
        <v>1131</v>
      </c>
      <c r="G97" s="249">
        <v>2.0</v>
      </c>
      <c r="H97" s="218">
        <f>(330)*I97</f>
        <v>660</v>
      </c>
      <c r="I97" s="250">
        <v>2.0</v>
      </c>
      <c r="J97" s="218">
        <f t="shared" si="45"/>
        <v>0</v>
      </c>
      <c r="K97" s="257">
        <v>381.0</v>
      </c>
      <c r="L97" s="50">
        <f t="shared" si="46"/>
        <v>0</v>
      </c>
      <c r="M97" s="186"/>
      <c r="N97" s="52">
        <f>J97*999</f>
        <v>0</v>
      </c>
      <c r="O97" s="3"/>
    </row>
    <row r="98">
      <c r="A98" s="42" t="s">
        <v>179</v>
      </c>
      <c r="B98" s="243">
        <f>3804</f>
        <v>3804</v>
      </c>
      <c r="C98" s="44">
        <f t="shared" ref="C98:C101" si="47">K98+H98</f>
        <v>1738</v>
      </c>
      <c r="D98" s="45">
        <f t="shared" si="42"/>
        <v>2066</v>
      </c>
      <c r="E98" s="11">
        <f t="shared" si="43"/>
        <v>54.31125131</v>
      </c>
      <c r="F98" s="46">
        <f t="shared" si="44"/>
        <v>1033</v>
      </c>
      <c r="G98" s="253">
        <f>3</f>
        <v>3</v>
      </c>
      <c r="H98" s="14">
        <f>(220+308)*I98</f>
        <v>1056</v>
      </c>
      <c r="I98" s="254">
        <f>2</f>
        <v>2</v>
      </c>
      <c r="J98" s="14">
        <f t="shared" si="45"/>
        <v>1</v>
      </c>
      <c r="K98" s="255">
        <v>682.0</v>
      </c>
      <c r="L98" s="50">
        <f t="shared" si="46"/>
        <v>33.33333333</v>
      </c>
      <c r="M98" s="28"/>
      <c r="N98" s="3"/>
      <c r="P98" s="54"/>
      <c r="X98" s="3"/>
    </row>
    <row r="99">
      <c r="A99" s="42" t="s">
        <v>55</v>
      </c>
      <c r="B99" s="243">
        <f>29166
</f>
        <v>29166</v>
      </c>
      <c r="C99" s="44">
        <f t="shared" si="47"/>
        <v>15086</v>
      </c>
      <c r="D99" s="45">
        <f t="shared" si="42"/>
        <v>14080</v>
      </c>
      <c r="E99" s="11">
        <f t="shared" si="43"/>
        <v>48.27538915</v>
      </c>
      <c r="F99" s="46">
        <f t="shared" si="44"/>
        <v>541.5384615</v>
      </c>
      <c r="G99" s="253">
        <v>32.0</v>
      </c>
      <c r="H99" s="14">
        <f>(220+184)*I99</f>
        <v>10504</v>
      </c>
      <c r="I99" s="254">
        <v>26.0</v>
      </c>
      <c r="J99" s="14">
        <f t="shared" si="45"/>
        <v>6</v>
      </c>
      <c r="K99" s="255">
        <v>4582.0</v>
      </c>
      <c r="L99" s="50">
        <f t="shared" si="46"/>
        <v>18.75</v>
      </c>
      <c r="M99" s="28"/>
      <c r="N99" s="3"/>
      <c r="P99" s="54"/>
      <c r="X99" s="3"/>
    </row>
    <row r="100">
      <c r="A100" s="42" t="s">
        <v>68</v>
      </c>
      <c r="B100" s="243">
        <f>3454
</f>
        <v>3454</v>
      </c>
      <c r="C100" s="44">
        <f t="shared" si="47"/>
        <v>1844</v>
      </c>
      <c r="D100" s="45">
        <f t="shared" si="42"/>
        <v>1610</v>
      </c>
      <c r="E100" s="11">
        <f t="shared" si="43"/>
        <v>46.61262305</v>
      </c>
      <c r="F100" s="46">
        <f t="shared" si="44"/>
        <v>805</v>
      </c>
      <c r="G100" s="253">
        <v>3.0</v>
      </c>
      <c r="H100" s="14">
        <f>(304+308)*I100</f>
        <v>1224</v>
      </c>
      <c r="I100" s="254">
        <v>2.0</v>
      </c>
      <c r="J100" s="14">
        <f t="shared" si="45"/>
        <v>1</v>
      </c>
      <c r="K100" s="255">
        <v>620.0</v>
      </c>
      <c r="L100" s="50">
        <f t="shared" si="46"/>
        <v>33.33333333</v>
      </c>
      <c r="M100" s="28"/>
      <c r="N100" s="3"/>
      <c r="P100" s="54"/>
      <c r="U100" s="3"/>
      <c r="V100" s="3"/>
      <c r="W100" s="3"/>
      <c r="X100" s="3"/>
    </row>
    <row r="101">
      <c r="A101" s="42" t="s">
        <v>56</v>
      </c>
      <c r="B101" s="243">
        <f>14620
</f>
        <v>14620</v>
      </c>
      <c r="C101" s="44">
        <f t="shared" si="47"/>
        <v>6405</v>
      </c>
      <c r="D101" s="45">
        <f t="shared" si="42"/>
        <v>8215</v>
      </c>
      <c r="E101" s="11">
        <f t="shared" si="43"/>
        <v>56.19015048</v>
      </c>
      <c r="F101" s="46">
        <f t="shared" si="44"/>
        <v>912.7777778</v>
      </c>
      <c r="G101" s="253">
        <v>13.0</v>
      </c>
      <c r="H101" s="14">
        <f>(220+304)*I101</f>
        <v>4716</v>
      </c>
      <c r="I101" s="254">
        <v>9.0</v>
      </c>
      <c r="J101" s="14">
        <f t="shared" si="45"/>
        <v>4</v>
      </c>
      <c r="K101" s="255">
        <v>1689.0</v>
      </c>
      <c r="L101" s="50">
        <f t="shared" si="46"/>
        <v>30.76923077</v>
      </c>
      <c r="M101" s="28"/>
      <c r="N101" s="3"/>
      <c r="P101" s="54"/>
      <c r="U101" s="3"/>
      <c r="V101" s="3"/>
      <c r="W101" s="3"/>
      <c r="X101" s="3"/>
    </row>
    <row r="102">
      <c r="A102" s="3"/>
      <c r="B102" s="57">
        <f>SUM(B88:B101)+5000</f>
        <v>175950</v>
      </c>
      <c r="C102" s="41">
        <f t="shared" ref="C102:D102" si="48">SUM(C88:C101)</f>
        <v>95162</v>
      </c>
      <c r="D102" s="53">
        <f t="shared" si="48"/>
        <v>75788</v>
      </c>
      <c r="E102" s="3"/>
      <c r="F102" s="3"/>
      <c r="G102" s="41">
        <f t="shared" ref="G102:K102" si="49">SUM(G88:G101)</f>
        <v>312</v>
      </c>
      <c r="H102" s="41">
        <f t="shared" si="49"/>
        <v>71016</v>
      </c>
      <c r="I102" s="41">
        <f t="shared" si="49"/>
        <v>228</v>
      </c>
      <c r="J102" s="41">
        <f t="shared" si="49"/>
        <v>84</v>
      </c>
      <c r="K102" s="41">
        <f t="shared" si="49"/>
        <v>24146</v>
      </c>
      <c r="L102" s="3"/>
      <c r="M102" s="258">
        <v>10500.0</v>
      </c>
      <c r="N102" s="3"/>
      <c r="P102" s="54"/>
      <c r="U102" s="3"/>
      <c r="V102" s="3"/>
      <c r="W102" s="3"/>
      <c r="X102" s="3"/>
    </row>
    <row r="103">
      <c r="P103" s="54"/>
      <c r="U103" s="3"/>
      <c r="V103" s="3"/>
      <c r="W103" s="3"/>
      <c r="X103" s="3"/>
    </row>
    <row r="104">
      <c r="P104" s="54"/>
      <c r="U104" s="3"/>
      <c r="V104" s="3"/>
      <c r="W104" s="3"/>
      <c r="X104" s="3"/>
    </row>
    <row r="105">
      <c r="A105" s="31" t="s">
        <v>40</v>
      </c>
      <c r="B105" s="36">
        <f>B102</f>
        <v>175950</v>
      </c>
      <c r="C105" s="3"/>
      <c r="D105" s="3"/>
      <c r="E105" s="3"/>
      <c r="U105" s="3"/>
      <c r="V105" s="3"/>
      <c r="W105" s="3"/>
    </row>
    <row r="106">
      <c r="A106" s="31" t="s">
        <v>41</v>
      </c>
      <c r="B106" s="36">
        <f>H102</f>
        <v>71016</v>
      </c>
      <c r="C106" s="3"/>
      <c r="D106" s="30"/>
      <c r="E106" s="3"/>
      <c r="L106" s="123" t="s">
        <v>40</v>
      </c>
      <c r="M106" s="285">
        <v>308000.0</v>
      </c>
      <c r="U106" s="3"/>
      <c r="V106" s="3"/>
      <c r="W106" s="3"/>
    </row>
    <row r="107">
      <c r="A107" s="31" t="s">
        <v>69</v>
      </c>
      <c r="B107" s="36">
        <f>K102</f>
        <v>24146</v>
      </c>
      <c r="C107" s="3"/>
      <c r="D107" s="33" t="s">
        <v>41</v>
      </c>
      <c r="E107" s="34">
        <f t="shared" ref="E107:E110" si="50">B106/$I$102</f>
        <v>311.4736842</v>
      </c>
      <c r="L107" s="286" t="s">
        <v>172</v>
      </c>
      <c r="M107" s="287">
        <v>311.0</v>
      </c>
      <c r="U107" s="3"/>
      <c r="V107" s="3"/>
      <c r="W107" s="3"/>
    </row>
    <row r="108">
      <c r="A108" s="31" t="s">
        <v>44</v>
      </c>
      <c r="B108" s="36">
        <f>M102</f>
        <v>10500</v>
      </c>
      <c r="C108" s="3"/>
      <c r="D108" s="33" t="s">
        <v>42</v>
      </c>
      <c r="E108" s="34">
        <f t="shared" si="50"/>
        <v>105.9035088</v>
      </c>
      <c r="L108" s="288" t="s">
        <v>45</v>
      </c>
      <c r="M108" s="289">
        <f>M106/M107</f>
        <v>990.3536977</v>
      </c>
    </row>
    <row r="109">
      <c r="A109" s="31" t="s">
        <v>62</v>
      </c>
      <c r="B109" s="36">
        <f>B105-SUM(B106:B108)</f>
        <v>70288</v>
      </c>
      <c r="C109" s="3"/>
      <c r="D109" s="33" t="s">
        <v>63</v>
      </c>
      <c r="E109" s="34">
        <f t="shared" si="50"/>
        <v>46.05263158</v>
      </c>
      <c r="L109" s="290" t="s">
        <v>173</v>
      </c>
      <c r="M109" s="291">
        <f>M102</f>
        <v>10500</v>
      </c>
    </row>
    <row r="110">
      <c r="A110" s="31" t="s">
        <v>47</v>
      </c>
      <c r="B110" s="62">
        <f>B109/B105*100</f>
        <v>39.94771242</v>
      </c>
      <c r="C110" s="3"/>
      <c r="D110" s="33" t="s">
        <v>45</v>
      </c>
      <c r="E110" s="34">
        <f t="shared" si="50"/>
        <v>308.2807018</v>
      </c>
      <c r="L110" s="292" t="s">
        <v>174</v>
      </c>
      <c r="M110" s="292">
        <v>17.5</v>
      </c>
    </row>
    <row r="115">
      <c r="A115" s="1" t="s">
        <v>180</v>
      </c>
      <c r="B115" s="2" t="s">
        <v>70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S116" s="3"/>
      <c r="T116" s="3"/>
    </row>
    <row r="117">
      <c r="A117" s="38" t="s">
        <v>49</v>
      </c>
      <c r="B117" s="24" t="s">
        <v>3</v>
      </c>
      <c r="C117" s="24" t="s">
        <v>4</v>
      </c>
      <c r="D117" s="24" t="s">
        <v>5</v>
      </c>
      <c r="E117" s="39" t="s">
        <v>6</v>
      </c>
      <c r="F117" s="24" t="s">
        <v>7</v>
      </c>
      <c r="G117" s="24" t="s">
        <v>71</v>
      </c>
      <c r="H117" s="24" t="s">
        <v>9</v>
      </c>
      <c r="I117" s="24" t="s">
        <v>72</v>
      </c>
      <c r="J117" s="24" t="s">
        <v>73</v>
      </c>
      <c r="K117" s="28" t="s">
        <v>43</v>
      </c>
      <c r="L117" s="3"/>
      <c r="M117" s="3"/>
      <c r="N117" s="3"/>
      <c r="S117" s="3"/>
      <c r="T117" s="3"/>
    </row>
    <row r="118">
      <c r="A118" s="42" t="s">
        <v>21</v>
      </c>
      <c r="B118" s="305">
        <v>49608.0</v>
      </c>
      <c r="C118" s="63">
        <f t="shared" ref="C118:C121" si="51">J118+G118+I118+K118</f>
        <v>17280</v>
      </c>
      <c r="D118" s="45">
        <f t="shared" ref="D118:D121" si="52">B118-C118</f>
        <v>32328</v>
      </c>
      <c r="E118" s="11">
        <f t="shared" ref="E118:E121" si="53">D118/B118*100</f>
        <v>65.16690856</v>
      </c>
      <c r="F118" s="46">
        <f t="shared" ref="F118:F121" si="54">D118/H118</f>
        <v>449</v>
      </c>
      <c r="G118" s="14">
        <f>220*H118</f>
        <v>15840</v>
      </c>
      <c r="H118" s="48">
        <v>72.0</v>
      </c>
      <c r="I118" s="14">
        <v>0.0</v>
      </c>
      <c r="J118" s="64">
        <v>0.0</v>
      </c>
      <c r="K118" s="65">
        <f t="shared" ref="K118:K121" si="55">20*H118</f>
        <v>1440</v>
      </c>
      <c r="L118" s="53"/>
      <c r="M118" s="41">
        <v>59209.0</v>
      </c>
      <c r="N118" s="3"/>
      <c r="S118" s="3"/>
      <c r="T118" s="3"/>
    </row>
    <row r="119">
      <c r="A119" s="42" t="s">
        <v>26</v>
      </c>
      <c r="B119" s="43">
        <v>50297.0</v>
      </c>
      <c r="C119" s="63">
        <f t="shared" si="51"/>
        <v>11424</v>
      </c>
      <c r="D119" s="45">
        <f t="shared" si="52"/>
        <v>38873</v>
      </c>
      <c r="E119" s="11">
        <f t="shared" si="53"/>
        <v>77.28691572</v>
      </c>
      <c r="F119" s="46">
        <f t="shared" si="54"/>
        <v>694.1607143</v>
      </c>
      <c r="G119" s="14">
        <f>184*H119</f>
        <v>10304</v>
      </c>
      <c r="H119" s="48">
        <v>56.0</v>
      </c>
      <c r="I119" s="14">
        <v>0.0</v>
      </c>
      <c r="J119" s="64">
        <v>0.0</v>
      </c>
      <c r="K119" s="65">
        <f t="shared" si="55"/>
        <v>1120</v>
      </c>
      <c r="L119" s="53"/>
      <c r="M119" s="3"/>
      <c r="N119" s="3"/>
      <c r="S119" s="3"/>
      <c r="T119" s="3"/>
    </row>
    <row r="120">
      <c r="A120" s="42" t="s">
        <v>23</v>
      </c>
      <c r="B120" s="43">
        <v>38584.0</v>
      </c>
      <c r="C120" s="44">
        <f t="shared" si="51"/>
        <v>23652</v>
      </c>
      <c r="D120" s="45">
        <f t="shared" si="52"/>
        <v>14932</v>
      </c>
      <c r="E120" s="11">
        <f t="shared" si="53"/>
        <v>38.69997927</v>
      </c>
      <c r="F120" s="46">
        <f t="shared" si="54"/>
        <v>204.5479452</v>
      </c>
      <c r="G120" s="14">
        <f>304*H120</f>
        <v>22192</v>
      </c>
      <c r="H120" s="48">
        <v>73.0</v>
      </c>
      <c r="I120" s="14">
        <v>0.0</v>
      </c>
      <c r="J120" s="66">
        <f t="shared" ref="J120:J121" si="56">L120%*M120</f>
        <v>0</v>
      </c>
      <c r="K120" s="65">
        <f t="shared" si="55"/>
        <v>1460</v>
      </c>
      <c r="L120" s="3"/>
      <c r="M120" s="3"/>
      <c r="N120" s="3"/>
      <c r="S120" s="3"/>
      <c r="T120" s="3"/>
    </row>
    <row r="121">
      <c r="A121" s="42" t="s">
        <v>29</v>
      </c>
      <c r="B121" s="43">
        <v>70967.0</v>
      </c>
      <c r="C121" s="44">
        <f t="shared" si="51"/>
        <v>33784</v>
      </c>
      <c r="D121" s="45">
        <f t="shared" si="52"/>
        <v>37183</v>
      </c>
      <c r="E121" s="11">
        <f t="shared" si="53"/>
        <v>52.39477504</v>
      </c>
      <c r="F121" s="46">
        <f t="shared" si="54"/>
        <v>361</v>
      </c>
      <c r="G121" s="14">
        <f>308*H121</f>
        <v>31724</v>
      </c>
      <c r="H121" s="48">
        <v>103.0</v>
      </c>
      <c r="I121" s="14">
        <v>0.0</v>
      </c>
      <c r="J121" s="66">
        <f t="shared" si="56"/>
        <v>0</v>
      </c>
      <c r="K121" s="65">
        <f t="shared" si="55"/>
        <v>2060</v>
      </c>
      <c r="L121" s="3"/>
      <c r="M121" s="3"/>
      <c r="N121" s="3"/>
      <c r="S121" s="3"/>
      <c r="T121" s="3"/>
    </row>
    <row r="122">
      <c r="A122" s="3"/>
      <c r="B122" s="41">
        <f t="shared" ref="B122:H122" si="57">SUM(B118:B121)</f>
        <v>209456</v>
      </c>
      <c r="C122" s="67">
        <f t="shared" si="57"/>
        <v>86140</v>
      </c>
      <c r="D122" s="53">
        <f t="shared" si="57"/>
        <v>123316</v>
      </c>
      <c r="E122" s="68">
        <f t="shared" si="57"/>
        <v>233.5485786</v>
      </c>
      <c r="F122" s="68">
        <f t="shared" si="57"/>
        <v>1708.708659</v>
      </c>
      <c r="G122" s="41">
        <f t="shared" si="57"/>
        <v>80060</v>
      </c>
      <c r="H122" s="41">
        <f t="shared" si="57"/>
        <v>304</v>
      </c>
      <c r="I122" s="41"/>
      <c r="J122" s="67">
        <v>93688.0</v>
      </c>
      <c r="K122" s="41">
        <f>SUM(K118:K121)</f>
        <v>6080</v>
      </c>
      <c r="L122" s="3"/>
      <c r="M122" s="3"/>
      <c r="N122" s="3"/>
      <c r="P122" s="3"/>
      <c r="Q122" s="3"/>
      <c r="R122" s="3"/>
      <c r="S122" s="3"/>
      <c r="T122" s="3"/>
      <c r="Y122" s="3"/>
      <c r="Z122" s="3"/>
      <c r="AA122" s="3"/>
      <c r="AB122" s="3"/>
      <c r="AC122" s="3"/>
      <c r="AD122" s="3"/>
      <c r="AE122" s="3"/>
    </row>
    <row r="125">
      <c r="A125" s="31" t="s">
        <v>40</v>
      </c>
      <c r="B125" s="32">
        <f>B122</f>
        <v>209456</v>
      </c>
      <c r="C125" s="3"/>
      <c r="D125" s="101" t="s">
        <v>39</v>
      </c>
      <c r="E125" s="28" t="s">
        <v>150</v>
      </c>
    </row>
    <row r="126">
      <c r="A126" s="31" t="s">
        <v>41</v>
      </c>
      <c r="B126" s="32">
        <f>G122</f>
        <v>80060</v>
      </c>
      <c r="C126" s="3"/>
      <c r="D126" s="33" t="s">
        <v>41</v>
      </c>
      <c r="E126" s="34">
        <f>B126/H122</f>
        <v>263.3552632</v>
      </c>
    </row>
    <row r="127">
      <c r="A127" s="31" t="s">
        <v>74</v>
      </c>
      <c r="B127" s="32">
        <f>K122</f>
        <v>6080</v>
      </c>
      <c r="C127" s="3"/>
      <c r="D127" s="33" t="s">
        <v>42</v>
      </c>
      <c r="E127" s="34">
        <f>B128/H122</f>
        <v>308.1842105</v>
      </c>
    </row>
    <row r="128">
      <c r="A128" s="31" t="s">
        <v>75</v>
      </c>
      <c r="B128" s="62">
        <f>J122</f>
        <v>93688</v>
      </c>
      <c r="C128" s="3"/>
      <c r="D128" s="69" t="s">
        <v>43</v>
      </c>
      <c r="E128" s="34">
        <f>K122/H122</f>
        <v>20</v>
      </c>
    </row>
    <row r="129">
      <c r="A129" s="31" t="s">
        <v>62</v>
      </c>
      <c r="B129" s="32">
        <f>B125-SUM(B126:B128)</f>
        <v>29628</v>
      </c>
      <c r="C129" s="3"/>
      <c r="D129" s="33" t="s">
        <v>45</v>
      </c>
      <c r="E129" s="34">
        <f>B125/H122</f>
        <v>689</v>
      </c>
    </row>
    <row r="130">
      <c r="A130" s="31" t="s">
        <v>47</v>
      </c>
      <c r="B130" s="62">
        <f>B129/B125*100</f>
        <v>14.14521427</v>
      </c>
      <c r="C130" s="3"/>
      <c r="D130" s="3"/>
      <c r="E130" s="3"/>
    </row>
    <row r="134">
      <c r="X134" s="3"/>
    </row>
    <row r="135">
      <c r="X135" s="3"/>
    </row>
    <row r="136">
      <c r="A136" s="1" t="s">
        <v>180</v>
      </c>
      <c r="B136" s="2" t="s">
        <v>76</v>
      </c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U137" s="3"/>
      <c r="V137" s="3"/>
      <c r="W137" s="3"/>
    </row>
    <row r="138">
      <c r="A138" s="38" t="s">
        <v>49</v>
      </c>
      <c r="B138" s="24" t="s">
        <v>3</v>
      </c>
      <c r="C138" s="24" t="s">
        <v>4</v>
      </c>
      <c r="D138" s="24" t="s">
        <v>5</v>
      </c>
      <c r="E138" s="39" t="s">
        <v>6</v>
      </c>
      <c r="F138" s="24" t="s">
        <v>7</v>
      </c>
      <c r="G138" s="24" t="s">
        <v>71</v>
      </c>
      <c r="H138" s="24" t="s">
        <v>9</v>
      </c>
      <c r="I138" s="24" t="s">
        <v>77</v>
      </c>
      <c r="J138" s="24" t="s">
        <v>73</v>
      </c>
      <c r="K138" s="28" t="s">
        <v>43</v>
      </c>
      <c r="U138" s="3"/>
      <c r="V138" s="3"/>
      <c r="W138" s="3"/>
    </row>
    <row r="139">
      <c r="A139" s="42" t="s">
        <v>21</v>
      </c>
      <c r="B139" s="43">
        <f>727*H139</f>
        <v>104688</v>
      </c>
      <c r="C139" s="44">
        <f t="shared" ref="C139:C141" si="58">J139+G139+I139+K139</f>
        <v>34560</v>
      </c>
      <c r="D139" s="45">
        <f t="shared" ref="D139:D142" si="59">B139-C139</f>
        <v>70128</v>
      </c>
      <c r="E139" s="11">
        <f t="shared" ref="E139:E141" si="60">D139/B139*100</f>
        <v>66.98762036</v>
      </c>
      <c r="F139" s="46">
        <f t="shared" ref="F139:F141" si="61">D139/H139</f>
        <v>487</v>
      </c>
      <c r="G139" s="14">
        <f>220*H139</f>
        <v>31680</v>
      </c>
      <c r="H139" s="48">
        <v>144.0</v>
      </c>
      <c r="I139" s="14">
        <v>0.0</v>
      </c>
      <c r="J139" s="66">
        <v>0.0</v>
      </c>
      <c r="K139" s="65">
        <f t="shared" ref="K139:K141" si="62">20*H139</f>
        <v>2880</v>
      </c>
    </row>
    <row r="140">
      <c r="A140" s="42" t="s">
        <v>26</v>
      </c>
      <c r="B140" s="43">
        <f>385*H140</f>
        <v>85085</v>
      </c>
      <c r="C140" s="44">
        <f t="shared" si="58"/>
        <v>45084</v>
      </c>
      <c r="D140" s="45">
        <f t="shared" si="59"/>
        <v>40001</v>
      </c>
      <c r="E140" s="11">
        <f t="shared" si="60"/>
        <v>47.01298701</v>
      </c>
      <c r="F140" s="46">
        <f t="shared" si="61"/>
        <v>181</v>
      </c>
      <c r="G140" s="14">
        <f>184*H140</f>
        <v>40664</v>
      </c>
      <c r="H140" s="48">
        <v>221.0</v>
      </c>
      <c r="I140" s="14">
        <v>0.0</v>
      </c>
      <c r="J140" s="66">
        <v>0.0</v>
      </c>
      <c r="K140" s="65">
        <f t="shared" si="62"/>
        <v>4420</v>
      </c>
    </row>
    <row r="141">
      <c r="A141" s="42" t="s">
        <v>23</v>
      </c>
      <c r="B141" s="43">
        <f>801*H141</f>
        <v>128160</v>
      </c>
      <c r="C141" s="44">
        <f t="shared" si="58"/>
        <v>52640</v>
      </c>
      <c r="D141" s="45">
        <f t="shared" si="59"/>
        <v>75520</v>
      </c>
      <c r="E141" s="11">
        <f t="shared" si="60"/>
        <v>58.92634207</v>
      </c>
      <c r="F141" s="46">
        <f t="shared" si="61"/>
        <v>472</v>
      </c>
      <c r="G141" s="14">
        <f>309*H141</f>
        <v>49440</v>
      </c>
      <c r="H141" s="48">
        <v>160.0</v>
      </c>
      <c r="I141" s="14">
        <v>0.0</v>
      </c>
      <c r="J141" s="66">
        <v>0.0</v>
      </c>
      <c r="K141" s="65">
        <f t="shared" si="62"/>
        <v>3200</v>
      </c>
    </row>
    <row r="142">
      <c r="A142" s="3"/>
      <c r="B142" s="41">
        <f t="shared" ref="B142:C142" si="63">SUM(B139:B141)</f>
        <v>317933</v>
      </c>
      <c r="C142" s="41">
        <f t="shared" si="63"/>
        <v>132284</v>
      </c>
      <c r="D142" s="41">
        <f t="shared" si="59"/>
        <v>185649</v>
      </c>
      <c r="E142" s="3"/>
      <c r="F142" s="3"/>
      <c r="G142" s="41">
        <f t="shared" ref="G142:H142" si="64">SUM(G139:G141)</f>
        <v>121784</v>
      </c>
      <c r="H142" s="41">
        <f t="shared" si="64"/>
        <v>525</v>
      </c>
      <c r="I142" s="3"/>
      <c r="J142" s="3">
        <v>0.0</v>
      </c>
      <c r="K142" s="41">
        <f>SUM(K139:K141)</f>
        <v>10500</v>
      </c>
    </row>
    <row r="144">
      <c r="A144" s="31" t="s">
        <v>40</v>
      </c>
      <c r="B144" s="32">
        <f>B142</f>
        <v>317933</v>
      </c>
      <c r="C144" s="3"/>
      <c r="D144" s="30" t="s">
        <v>39</v>
      </c>
      <c r="E144" s="3" t="s">
        <v>151</v>
      </c>
    </row>
    <row r="145">
      <c r="A145" s="31" t="s">
        <v>41</v>
      </c>
      <c r="B145" s="32">
        <f>G142</f>
        <v>121784</v>
      </c>
      <c r="C145" s="3"/>
      <c r="D145" s="33" t="s">
        <v>41</v>
      </c>
      <c r="E145" s="34">
        <f>B145/H142</f>
        <v>231.9695238</v>
      </c>
    </row>
    <row r="146">
      <c r="A146" s="31" t="s">
        <v>74</v>
      </c>
      <c r="B146" s="32">
        <f>K142</f>
        <v>10500</v>
      </c>
      <c r="C146" s="3"/>
      <c r="D146" s="33" t="s">
        <v>42</v>
      </c>
      <c r="E146" s="34">
        <f>B147/H142</f>
        <v>0</v>
      </c>
    </row>
    <row r="147">
      <c r="A147" s="31" t="s">
        <v>75</v>
      </c>
      <c r="B147" s="32">
        <f>I142+J142</f>
        <v>0</v>
      </c>
      <c r="C147" s="3"/>
      <c r="D147" s="69" t="s">
        <v>43</v>
      </c>
      <c r="E147" s="34">
        <f>B146/H142</f>
        <v>20</v>
      </c>
    </row>
    <row r="148">
      <c r="A148" s="31" t="s">
        <v>62</v>
      </c>
      <c r="B148" s="32">
        <f>B144-SUM(B145:B147)</f>
        <v>185649</v>
      </c>
      <c r="C148" s="3"/>
      <c r="D148" s="33" t="s">
        <v>45</v>
      </c>
      <c r="E148" s="34">
        <f>B144/H142</f>
        <v>605.5866667</v>
      </c>
    </row>
    <row r="149">
      <c r="A149" s="31" t="s">
        <v>47</v>
      </c>
      <c r="B149" s="62">
        <f>B148/B144*100</f>
        <v>58.3924915</v>
      </c>
      <c r="C149" s="3"/>
      <c r="D149" s="3"/>
      <c r="E149" s="3"/>
    </row>
    <row r="152">
      <c r="A152" s="1" t="s">
        <v>171</v>
      </c>
      <c r="B152" s="2" t="s">
        <v>78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S153" s="3"/>
      <c r="T153" s="3"/>
    </row>
    <row r="154">
      <c r="A154" s="38" t="s">
        <v>49</v>
      </c>
      <c r="B154" s="24" t="s">
        <v>3</v>
      </c>
      <c r="C154" s="24" t="s">
        <v>4</v>
      </c>
      <c r="D154" s="24" t="s">
        <v>5</v>
      </c>
      <c r="E154" s="39" t="s">
        <v>6</v>
      </c>
      <c r="F154" s="24" t="s">
        <v>7</v>
      </c>
      <c r="G154" s="24" t="s">
        <v>11</v>
      </c>
      <c r="H154" s="24" t="s">
        <v>12</v>
      </c>
      <c r="I154" s="3"/>
      <c r="J154" s="3"/>
      <c r="K154" s="3"/>
      <c r="L154" s="3"/>
    </row>
    <row r="155">
      <c r="A155" s="42" t="s">
        <v>21</v>
      </c>
      <c r="B155" s="43">
        <f>24895+1017</f>
        <v>25912</v>
      </c>
      <c r="C155" s="44">
        <f t="shared" ref="C155:C170" si="65">G155</f>
        <v>10120</v>
      </c>
      <c r="D155" s="45">
        <f t="shared" ref="D155:D171" si="66">B155-C155</f>
        <v>15792</v>
      </c>
      <c r="E155" s="11">
        <f t="shared" ref="E155:E170" si="67">D155/B155*100</f>
        <v>60.94473603</v>
      </c>
      <c r="F155" s="46">
        <f t="shared" ref="F155:F170" si="68">D155/H155</f>
        <v>343.3043478</v>
      </c>
      <c r="G155" s="14">
        <f>220*H155</f>
        <v>10120</v>
      </c>
      <c r="H155" s="48">
        <f>45+1</f>
        <v>46</v>
      </c>
      <c r="I155" s="3"/>
      <c r="J155" s="3"/>
      <c r="K155" s="3"/>
      <c r="L155" s="3"/>
    </row>
    <row r="156">
      <c r="A156" s="42" t="s">
        <v>23</v>
      </c>
      <c r="B156" s="43">
        <v>16957.0</v>
      </c>
      <c r="C156" s="44">
        <f t="shared" si="65"/>
        <v>8512</v>
      </c>
      <c r="D156" s="45">
        <f t="shared" si="66"/>
        <v>8445</v>
      </c>
      <c r="E156" s="11">
        <f t="shared" si="67"/>
        <v>49.80244147</v>
      </c>
      <c r="F156" s="46">
        <f t="shared" si="68"/>
        <v>301.6071429</v>
      </c>
      <c r="G156" s="14">
        <f>304*H156</f>
        <v>8512</v>
      </c>
      <c r="H156" s="48">
        <v>28.0</v>
      </c>
      <c r="I156" s="3"/>
      <c r="J156" s="3"/>
      <c r="K156" s="3"/>
      <c r="L156" s="3"/>
    </row>
    <row r="157">
      <c r="A157" s="42" t="s">
        <v>25</v>
      </c>
      <c r="B157" s="43">
        <f>4818</f>
        <v>4818</v>
      </c>
      <c r="C157" s="44">
        <f t="shared" si="65"/>
        <v>3310</v>
      </c>
      <c r="D157" s="45">
        <f t="shared" si="66"/>
        <v>1508</v>
      </c>
      <c r="E157" s="11">
        <f t="shared" si="67"/>
        <v>31.29929431</v>
      </c>
      <c r="F157" s="46">
        <f t="shared" si="68"/>
        <v>301.6</v>
      </c>
      <c r="G157" s="14">
        <f> 662*H157</f>
        <v>3310</v>
      </c>
      <c r="H157" s="48">
        <f>5
</f>
        <v>5</v>
      </c>
      <c r="I157" s="3"/>
      <c r="J157" s="3"/>
      <c r="K157" s="3"/>
      <c r="L157" s="3"/>
    </row>
    <row r="158">
      <c r="A158" s="42" t="s">
        <v>26</v>
      </c>
      <c r="B158" s="43">
        <f>1926+1072</f>
        <v>2998</v>
      </c>
      <c r="C158" s="44">
        <f t="shared" si="65"/>
        <v>1656</v>
      </c>
      <c r="D158" s="45">
        <f t="shared" si="66"/>
        <v>1342</v>
      </c>
      <c r="E158" s="11">
        <f t="shared" si="67"/>
        <v>44.76317545</v>
      </c>
      <c r="F158" s="46">
        <f t="shared" si="68"/>
        <v>149.1111111</v>
      </c>
      <c r="G158" s="14">
        <f>184*H158</f>
        <v>1656</v>
      </c>
      <c r="H158" s="48">
        <f>7+2</f>
        <v>9</v>
      </c>
      <c r="I158" s="3"/>
      <c r="J158" s="3"/>
      <c r="K158" s="3"/>
      <c r="L158" s="3"/>
    </row>
    <row r="159">
      <c r="A159" s="42" t="s">
        <v>28</v>
      </c>
      <c r="B159" s="43"/>
      <c r="C159" s="44">
        <f t="shared" si="65"/>
        <v>0</v>
      </c>
      <c r="D159" s="45">
        <f t="shared" si="66"/>
        <v>0</v>
      </c>
      <c r="E159" s="11" t="str">
        <f t="shared" si="67"/>
        <v>#DIV/0!</v>
      </c>
      <c r="F159" s="46" t="str">
        <f t="shared" si="68"/>
        <v>#DIV/0!</v>
      </c>
      <c r="G159" s="14">
        <f>250*H159</f>
        <v>0</v>
      </c>
      <c r="H159" s="48"/>
      <c r="I159" s="3"/>
      <c r="J159" s="3"/>
      <c r="K159" s="3"/>
      <c r="L159" s="3"/>
    </row>
    <row r="160">
      <c r="A160" s="42" t="s">
        <v>29</v>
      </c>
      <c r="B160" s="43">
        <v>4239.0</v>
      </c>
      <c r="C160" s="44">
        <f t="shared" si="65"/>
        <v>2156</v>
      </c>
      <c r="D160" s="45">
        <f t="shared" si="66"/>
        <v>2083</v>
      </c>
      <c r="E160" s="11">
        <f t="shared" si="67"/>
        <v>49.13894787</v>
      </c>
      <c r="F160" s="46">
        <f t="shared" si="68"/>
        <v>297.5714286</v>
      </c>
      <c r="G160" s="14">
        <f>308*H160</f>
        <v>2156</v>
      </c>
      <c r="H160" s="48">
        <v>7.0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42" t="s">
        <v>31</v>
      </c>
      <c r="B161" s="43"/>
      <c r="C161" s="44">
        <f t="shared" si="65"/>
        <v>0</v>
      </c>
      <c r="D161" s="45">
        <f t="shared" si="66"/>
        <v>0</v>
      </c>
      <c r="E161" s="11" t="str">
        <f t="shared" si="67"/>
        <v>#DIV/0!</v>
      </c>
      <c r="F161" s="46" t="str">
        <f t="shared" si="68"/>
        <v>#DIV/0!</v>
      </c>
      <c r="G161" s="14">
        <f>500*H161</f>
        <v>0</v>
      </c>
      <c r="H161" s="48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2" t="s">
        <v>32</v>
      </c>
      <c r="B162" s="43"/>
      <c r="C162" s="44">
        <f t="shared" si="65"/>
        <v>0</v>
      </c>
      <c r="D162" s="45">
        <f t="shared" si="66"/>
        <v>0</v>
      </c>
      <c r="E162" s="11" t="str">
        <f t="shared" si="67"/>
        <v>#DIV/0!</v>
      </c>
      <c r="F162" s="46" t="str">
        <f t="shared" si="68"/>
        <v>#DIV/0!</v>
      </c>
      <c r="G162" s="14">
        <f>800*H162</f>
        <v>0</v>
      </c>
      <c r="H162" s="48"/>
      <c r="I162" s="3"/>
      <c r="J162" s="3"/>
      <c r="K162" s="3"/>
      <c r="L162" s="3"/>
    </row>
    <row r="163">
      <c r="A163" s="42" t="s">
        <v>33</v>
      </c>
      <c r="B163" s="43">
        <v>17841.0</v>
      </c>
      <c r="C163" s="44">
        <f t="shared" si="65"/>
        <v>14004</v>
      </c>
      <c r="D163" s="45">
        <f t="shared" si="66"/>
        <v>3837</v>
      </c>
      <c r="E163" s="11">
        <f t="shared" si="67"/>
        <v>21.506642</v>
      </c>
      <c r="F163" s="46">
        <f t="shared" si="68"/>
        <v>213.1666667</v>
      </c>
      <c r="G163" s="14">
        <f>778*H163</f>
        <v>14004</v>
      </c>
      <c r="H163" s="48">
        <v>18.0</v>
      </c>
      <c r="I163" s="3"/>
      <c r="J163" s="3"/>
      <c r="K163" s="3"/>
      <c r="L163" s="3"/>
    </row>
    <row r="164" ht="14.25" customHeight="1">
      <c r="A164" s="211" t="s">
        <v>131</v>
      </c>
      <c r="B164" s="212">
        <v>1073.0</v>
      </c>
      <c r="C164" s="221">
        <f t="shared" si="65"/>
        <v>900</v>
      </c>
      <c r="D164" s="214">
        <f t="shared" si="66"/>
        <v>173</v>
      </c>
      <c r="E164" s="215">
        <f t="shared" si="67"/>
        <v>16.12301957</v>
      </c>
      <c r="F164" s="216">
        <f t="shared" si="68"/>
        <v>173</v>
      </c>
      <c r="G164" s="218">
        <f>(900)*H164</f>
        <v>900</v>
      </c>
      <c r="H164" s="219">
        <v>1.0</v>
      </c>
    </row>
    <row r="165">
      <c r="A165" s="42" t="s">
        <v>54</v>
      </c>
      <c r="B165" s="43"/>
      <c r="C165" s="44">
        <f t="shared" si="65"/>
        <v>0</v>
      </c>
      <c r="D165" s="45">
        <f t="shared" si="66"/>
        <v>0</v>
      </c>
      <c r="E165" s="11" t="str">
        <f t="shared" si="67"/>
        <v>#DIV/0!</v>
      </c>
      <c r="F165" s="46" t="str">
        <f t="shared" si="68"/>
        <v>#DIV/0!</v>
      </c>
      <c r="G165" s="14">
        <f>200*H165</f>
        <v>0</v>
      </c>
      <c r="H165" s="48"/>
      <c r="I165" s="3"/>
      <c r="J165" s="3"/>
      <c r="K165" s="3"/>
      <c r="L165" s="3"/>
      <c r="N165" s="3"/>
    </row>
    <row r="166">
      <c r="A166" s="42" t="s">
        <v>55</v>
      </c>
      <c r="B166" s="43">
        <v>1651.0</v>
      </c>
      <c r="C166" s="44">
        <f t="shared" si="65"/>
        <v>808</v>
      </c>
      <c r="D166" s="45">
        <f t="shared" si="66"/>
        <v>843</v>
      </c>
      <c r="E166" s="11">
        <f t="shared" si="67"/>
        <v>51.05996366</v>
      </c>
      <c r="F166" s="46">
        <f t="shared" si="68"/>
        <v>421.5</v>
      </c>
      <c r="G166" s="14">
        <f>(184+220)*H166</f>
        <v>808</v>
      </c>
      <c r="H166" s="48">
        <v>2.0</v>
      </c>
      <c r="I166" s="3"/>
      <c r="J166" s="3"/>
      <c r="K166" s="3"/>
      <c r="L166" s="3"/>
    </row>
    <row r="167">
      <c r="A167" s="42" t="s">
        <v>56</v>
      </c>
      <c r="B167" s="43">
        <f>1927+25053</f>
        <v>26980</v>
      </c>
      <c r="C167" s="44">
        <f t="shared" si="65"/>
        <v>14672</v>
      </c>
      <c r="D167" s="45">
        <f t="shared" si="66"/>
        <v>12308</v>
      </c>
      <c r="E167" s="11">
        <f t="shared" si="67"/>
        <v>45.61897702</v>
      </c>
      <c r="F167" s="46">
        <f t="shared" si="68"/>
        <v>439.5714286</v>
      </c>
      <c r="G167" s="14">
        <f>(220+304)*H167</f>
        <v>14672</v>
      </c>
      <c r="H167" s="48">
        <f>2+26</f>
        <v>28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42" t="s">
        <v>57</v>
      </c>
      <c r="B168" s="43">
        <v>3716.0</v>
      </c>
      <c r="C168" s="44">
        <f t="shared" si="65"/>
        <v>1584</v>
      </c>
      <c r="D168" s="45">
        <f t="shared" si="66"/>
        <v>2132</v>
      </c>
      <c r="E168" s="11">
        <f t="shared" si="67"/>
        <v>57.37351991</v>
      </c>
      <c r="F168" s="46">
        <f t="shared" si="68"/>
        <v>710.6666667</v>
      </c>
      <c r="G168" s="14">
        <f>(220+308)*H168</f>
        <v>1584</v>
      </c>
      <c r="H168" s="48">
        <v>3.0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42" t="s">
        <v>58</v>
      </c>
      <c r="B169" s="43">
        <v>1706.0</v>
      </c>
      <c r="C169" s="44">
        <f t="shared" si="65"/>
        <v>976</v>
      </c>
      <c r="D169" s="45">
        <f t="shared" si="66"/>
        <v>730</v>
      </c>
      <c r="E169" s="11">
        <f t="shared" si="67"/>
        <v>42.7901524</v>
      </c>
      <c r="F169" s="46">
        <f t="shared" si="68"/>
        <v>365</v>
      </c>
      <c r="G169" s="14">
        <f>(304+184)*H169</f>
        <v>976</v>
      </c>
      <c r="H169" s="48">
        <v>2.0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42" t="s">
        <v>59</v>
      </c>
      <c r="B170" s="43">
        <v>3716.0</v>
      </c>
      <c r="C170" s="44">
        <f t="shared" si="65"/>
        <v>1836</v>
      </c>
      <c r="D170" s="45">
        <f t="shared" si="66"/>
        <v>1880</v>
      </c>
      <c r="E170" s="11">
        <f t="shared" si="67"/>
        <v>50.59203445</v>
      </c>
      <c r="F170" s="46">
        <f t="shared" si="68"/>
        <v>626.6666667</v>
      </c>
      <c r="G170" s="14">
        <f>(304+308)*H170</f>
        <v>1836</v>
      </c>
      <c r="H170" s="48">
        <v>3.0</v>
      </c>
      <c r="I170" s="3"/>
      <c r="J170" s="157"/>
      <c r="K170" s="157"/>
      <c r="L170" s="157"/>
      <c r="M170" s="3"/>
      <c r="N170" s="3"/>
      <c r="O170" s="3"/>
      <c r="P170" s="3"/>
      <c r="Q170" s="3"/>
      <c r="R170" s="3"/>
    </row>
    <row r="171">
      <c r="A171" s="3" t="s">
        <v>38</v>
      </c>
      <c r="B171" s="57">
        <f t="shared" ref="B171:C171" si="69">SUM(B155:B170)</f>
        <v>111607</v>
      </c>
      <c r="C171" s="41">
        <f t="shared" si="69"/>
        <v>60534</v>
      </c>
      <c r="D171" s="57">
        <f t="shared" si="66"/>
        <v>51073</v>
      </c>
      <c r="E171" s="3"/>
      <c r="F171" s="3"/>
      <c r="G171" s="41">
        <f t="shared" ref="G171:H171" si="70">SUM(G155:G170)</f>
        <v>60534</v>
      </c>
      <c r="H171" s="41">
        <f t="shared" si="70"/>
        <v>152</v>
      </c>
      <c r="I171" s="3"/>
      <c r="J171" s="157"/>
      <c r="K171" s="157"/>
      <c r="L171" s="157"/>
      <c r="M171" s="3"/>
      <c r="N171" s="3"/>
      <c r="O171" s="3"/>
      <c r="P171" s="3"/>
      <c r="Q171" s="3"/>
      <c r="R171" s="3"/>
    </row>
    <row r="172">
      <c r="J172" s="70"/>
      <c r="K172" s="70"/>
      <c r="L172" s="70"/>
    </row>
    <row r="173">
      <c r="A173" s="31" t="s">
        <v>40</v>
      </c>
      <c r="B173" s="36">
        <f>B171</f>
        <v>111607</v>
      </c>
      <c r="C173" s="3"/>
      <c r="D173" s="30"/>
      <c r="E173" s="3"/>
      <c r="J173" s="70"/>
      <c r="K173" s="70"/>
      <c r="L173" s="70"/>
    </row>
    <row r="174">
      <c r="A174" s="31" t="s">
        <v>41</v>
      </c>
      <c r="B174" s="32">
        <f>G171</f>
        <v>60534</v>
      </c>
      <c r="C174" s="3"/>
      <c r="D174" s="33" t="s">
        <v>41</v>
      </c>
      <c r="E174" s="34">
        <f>B174/H171</f>
        <v>398.25</v>
      </c>
      <c r="J174" s="70"/>
      <c r="K174" s="259"/>
      <c r="L174" s="306"/>
    </row>
    <row r="175">
      <c r="A175" s="31" t="s">
        <v>74</v>
      </c>
      <c r="B175" s="32">
        <v>0.0</v>
      </c>
      <c r="C175" s="3"/>
      <c r="D175" s="33" t="s">
        <v>42</v>
      </c>
      <c r="E175" s="34">
        <f>B176</f>
        <v>0</v>
      </c>
      <c r="J175" s="70"/>
      <c r="K175" s="301"/>
      <c r="L175" s="301"/>
    </row>
    <row r="176">
      <c r="A176" s="31" t="s">
        <v>75</v>
      </c>
      <c r="B176" s="32">
        <f>I170+J170</f>
        <v>0</v>
      </c>
      <c r="C176" s="3"/>
      <c r="D176" s="69" t="s">
        <v>43</v>
      </c>
      <c r="E176" s="34">
        <f>B175/H171</f>
        <v>0</v>
      </c>
      <c r="J176" s="70"/>
      <c r="K176" s="301"/>
      <c r="L176" s="301"/>
    </row>
    <row r="177">
      <c r="A177" s="31" t="s">
        <v>62</v>
      </c>
      <c r="B177" s="36">
        <f>B173-SUM(B174:B176)</f>
        <v>51073</v>
      </c>
      <c r="C177" s="3"/>
      <c r="D177" s="33" t="s">
        <v>45</v>
      </c>
      <c r="E177" s="34">
        <f>B173/H171</f>
        <v>734.2565789</v>
      </c>
    </row>
    <row r="178">
      <c r="A178" s="31" t="s">
        <v>47</v>
      </c>
      <c r="B178" s="62">
        <f>B177/B173*100</f>
        <v>45.76146657</v>
      </c>
      <c r="C178" s="3"/>
      <c r="D178" s="3"/>
      <c r="E178" s="3"/>
    </row>
    <row r="179">
      <c r="A179" s="259"/>
      <c r="B179" s="260"/>
      <c r="C179" s="157"/>
      <c r="D179" s="157"/>
      <c r="E179" s="157"/>
      <c r="F179" s="70"/>
      <c r="G179" s="70"/>
    </row>
    <row r="180">
      <c r="A180" s="259"/>
      <c r="B180" s="260"/>
      <c r="C180" s="157"/>
      <c r="D180" s="157"/>
      <c r="E180" s="157"/>
      <c r="F180" s="70"/>
      <c r="G180" s="70"/>
    </row>
    <row r="181">
      <c r="A181" s="1" t="s">
        <v>171</v>
      </c>
      <c r="B181" s="2" t="s">
        <v>162</v>
      </c>
      <c r="C181" s="157"/>
      <c r="D181" s="157"/>
      <c r="E181" s="157"/>
      <c r="F181" s="70"/>
      <c r="G181" s="70"/>
    </row>
    <row r="182">
      <c r="A182" s="38" t="s">
        <v>49</v>
      </c>
      <c r="B182" s="24" t="s">
        <v>3</v>
      </c>
      <c r="C182" s="24" t="s">
        <v>4</v>
      </c>
      <c r="D182" s="24" t="s">
        <v>5</v>
      </c>
      <c r="E182" s="39" t="s">
        <v>6</v>
      </c>
      <c r="F182" s="24" t="s">
        <v>7</v>
      </c>
      <c r="G182" s="24" t="s">
        <v>11</v>
      </c>
      <c r="H182" s="24" t="s">
        <v>12</v>
      </c>
    </row>
    <row r="183">
      <c r="A183" s="24" t="s">
        <v>21</v>
      </c>
      <c r="B183" s="212"/>
      <c r="C183" s="221">
        <f t="shared" ref="C183:C187" si="71">G183</f>
        <v>0</v>
      </c>
      <c r="D183" s="214">
        <f t="shared" ref="D183:D187" si="72">B183-C183</f>
        <v>0</v>
      </c>
      <c r="E183" s="215" t="str">
        <f t="shared" ref="E183:E187" si="73">D183/B183*100</f>
        <v>#DIV/0!</v>
      </c>
      <c r="F183" s="216" t="str">
        <f t="shared" ref="F183:F187" si="74">D183/H183</f>
        <v>#DIV/0!</v>
      </c>
      <c r="G183" s="218">
        <f>220*H183</f>
        <v>0</v>
      </c>
      <c r="H183" s="307"/>
    </row>
    <row r="184">
      <c r="A184" s="90" t="s">
        <v>163</v>
      </c>
      <c r="B184" s="212"/>
      <c r="C184" s="221">
        <f t="shared" si="71"/>
        <v>0</v>
      </c>
      <c r="D184" s="214">
        <f t="shared" si="72"/>
        <v>0</v>
      </c>
      <c r="E184" s="215" t="str">
        <f t="shared" si="73"/>
        <v>#DIV/0!</v>
      </c>
      <c r="F184" s="216" t="str">
        <f t="shared" si="74"/>
        <v>#DIV/0!</v>
      </c>
      <c r="G184" s="218">
        <f>304*H184</f>
        <v>0</v>
      </c>
      <c r="H184" s="307"/>
    </row>
    <row r="185">
      <c r="A185" s="90" t="s">
        <v>164</v>
      </c>
      <c r="B185" s="212"/>
      <c r="C185" s="221">
        <f t="shared" si="71"/>
        <v>0</v>
      </c>
      <c r="D185" s="214">
        <f t="shared" si="72"/>
        <v>0</v>
      </c>
      <c r="E185" s="215" t="str">
        <f t="shared" si="73"/>
        <v>#DIV/0!</v>
      </c>
      <c r="F185" s="216" t="str">
        <f t="shared" si="74"/>
        <v>#DIV/0!</v>
      </c>
      <c r="G185" s="218">
        <f>662*H185</f>
        <v>0</v>
      </c>
      <c r="H185" s="307"/>
    </row>
    <row r="186">
      <c r="A186" s="90" t="s">
        <v>175</v>
      </c>
      <c r="B186" s="212"/>
      <c r="C186" s="221">
        <f t="shared" si="71"/>
        <v>0</v>
      </c>
      <c r="D186" s="214">
        <f t="shared" si="72"/>
        <v>0</v>
      </c>
      <c r="E186" s="215" t="str">
        <f t="shared" si="73"/>
        <v>#DIV/0!</v>
      </c>
      <c r="F186" s="216" t="str">
        <f t="shared" si="74"/>
        <v>#DIV/0!</v>
      </c>
      <c r="G186" s="218">
        <f>300*H186</f>
        <v>0</v>
      </c>
      <c r="H186" s="307"/>
    </row>
    <row r="187">
      <c r="A187" s="90" t="s">
        <v>166</v>
      </c>
      <c r="B187" s="212"/>
      <c r="C187" s="221">
        <f t="shared" si="71"/>
        <v>0</v>
      </c>
      <c r="D187" s="214">
        <f t="shared" si="72"/>
        <v>0</v>
      </c>
      <c r="E187" s="215" t="str">
        <f t="shared" si="73"/>
        <v>#DIV/0!</v>
      </c>
      <c r="F187" s="216" t="str">
        <f t="shared" si="74"/>
        <v>#DIV/0!</v>
      </c>
      <c r="G187" s="218">
        <f t="shared" ref="G187:G188" si="76">778*H187</f>
        <v>0</v>
      </c>
      <c r="H187" s="307"/>
    </row>
    <row r="188">
      <c r="A188" s="90"/>
      <c r="B188" s="261"/>
      <c r="C188" s="262">
        <f t="shared" ref="C188:D188" si="75">SUM(C183:C187)</f>
        <v>0</v>
      </c>
      <c r="D188" s="263">
        <f t="shared" si="75"/>
        <v>0</v>
      </c>
      <c r="E188" s="262"/>
      <c r="F188" s="264"/>
      <c r="G188" s="265">
        <f t="shared" si="76"/>
        <v>0</v>
      </c>
      <c r="H188" s="107">
        <f>SUM(H183:H187)</f>
        <v>0</v>
      </c>
    </row>
    <row r="189">
      <c r="A189" s="259"/>
      <c r="B189" s="260"/>
      <c r="C189" s="157"/>
      <c r="D189" s="157"/>
      <c r="E189" s="157"/>
      <c r="F189" s="70"/>
      <c r="G189" s="70"/>
    </row>
    <row r="190">
      <c r="A190" s="259"/>
      <c r="B190" s="260"/>
      <c r="C190" s="157"/>
      <c r="D190" s="157"/>
      <c r="E190" s="157"/>
      <c r="F190" s="70"/>
      <c r="G190" s="70"/>
    </row>
    <row r="191">
      <c r="A191" s="259"/>
      <c r="B191" s="260"/>
      <c r="C191" s="157"/>
      <c r="D191" s="157"/>
      <c r="E191" s="157"/>
      <c r="F191" s="70"/>
      <c r="G191" s="70"/>
    </row>
    <row r="192">
      <c r="A192" s="259"/>
      <c r="B192" s="260"/>
      <c r="C192" s="157"/>
      <c r="D192" s="157"/>
      <c r="E192" s="157"/>
      <c r="F192" s="70"/>
      <c r="G192" s="70"/>
    </row>
    <row r="193">
      <c r="A193" s="259"/>
      <c r="B193" s="260"/>
      <c r="C193" s="157"/>
      <c r="D193" s="157"/>
      <c r="E193" s="157"/>
      <c r="F193" s="70"/>
      <c r="G193" s="70"/>
    </row>
    <row r="194">
      <c r="A194" s="70"/>
      <c r="B194" s="70"/>
      <c r="C194" s="70"/>
      <c r="D194" s="70"/>
      <c r="E194" s="70"/>
      <c r="F194" s="70"/>
      <c r="G194" s="70"/>
    </row>
    <row r="195" ht="18.0" customHeight="1"/>
    <row r="196">
      <c r="A196" s="127">
        <v>45962.0</v>
      </c>
    </row>
    <row r="197" ht="15.75" customHeight="1"/>
    <row r="198">
      <c r="A198" s="227" t="s">
        <v>152</v>
      </c>
      <c r="B198" s="228">
        <f>K35+I69+I102+H122+H142+H171+H188</f>
        <v>8752</v>
      </c>
      <c r="E198" s="60" t="s">
        <v>21</v>
      </c>
      <c r="F198" s="58">
        <f>B4+B52+B88+B118+B139+B155+B183</f>
        <v>2050351.64</v>
      </c>
    </row>
    <row r="199">
      <c r="A199" s="71" t="s">
        <v>79</v>
      </c>
      <c r="B199" s="72">
        <f>B40+B72+B105+B125+B144+B173+B188</f>
        <v>9001858.51</v>
      </c>
      <c r="E199" s="60" t="s">
        <v>23</v>
      </c>
      <c r="F199" s="58">
        <f>B6+B53+B89+B120+B141+B156+B184</f>
        <v>1675083.15</v>
      </c>
    </row>
    <row r="200">
      <c r="A200" s="229" t="s">
        <v>41</v>
      </c>
      <c r="B200" s="230">
        <f>B41+B73+B106+B126+B145+B174</f>
        <v>2952133.96</v>
      </c>
      <c r="D200" s="294"/>
      <c r="E200" s="60" t="s">
        <v>25</v>
      </c>
      <c r="F200" s="58">
        <f>B8+B54+B90+B157+B185</f>
        <v>304120.39</v>
      </c>
      <c r="G200" s="70"/>
      <c r="H200" s="129"/>
      <c r="I200" s="129"/>
      <c r="J200" s="129"/>
      <c r="K200" s="70"/>
    </row>
    <row r="201">
      <c r="A201" s="231" t="s">
        <v>80</v>
      </c>
      <c r="B201" s="232">
        <f>B199-B200</f>
        <v>6049724.55</v>
      </c>
      <c r="E201" s="60" t="s">
        <v>26</v>
      </c>
      <c r="F201" s="58">
        <f>B9+B55+B91+B119+B140+B158</f>
        <v>563905.27</v>
      </c>
      <c r="G201" s="70"/>
      <c r="H201" s="70"/>
      <c r="I201" s="169"/>
      <c r="J201" s="148"/>
      <c r="K201" s="70"/>
      <c r="M201" s="128"/>
      <c r="N201" s="113"/>
    </row>
    <row r="202">
      <c r="A202" s="71" t="s">
        <v>81</v>
      </c>
      <c r="B202" s="78">
        <f>B201/B199</f>
        <v>0.672052837</v>
      </c>
      <c r="C202" s="60" t="s">
        <v>181</v>
      </c>
      <c r="E202" s="60" t="s">
        <v>28</v>
      </c>
      <c r="F202" s="128">
        <f>B12+B159</f>
        <v>0</v>
      </c>
      <c r="G202" s="70"/>
      <c r="H202" s="70"/>
      <c r="I202" s="169"/>
      <c r="J202" s="148"/>
      <c r="K202" s="70"/>
    </row>
    <row r="203">
      <c r="A203" s="231" t="s">
        <v>82</v>
      </c>
      <c r="B203" s="232">
        <f>B175+B146+B127+B107+B74+B42+B75</f>
        <v>930375</v>
      </c>
      <c r="D203" s="296"/>
      <c r="E203" s="60" t="s">
        <v>29</v>
      </c>
      <c r="F203" s="128">
        <f>B13+B56+B93+B121+B160+B186</f>
        <v>1481899.39</v>
      </c>
      <c r="G203" s="70"/>
      <c r="H203" s="70"/>
      <c r="I203" s="169"/>
      <c r="J203" s="148"/>
      <c r="K203" s="70"/>
      <c r="L203" s="128"/>
      <c r="M203" s="113"/>
    </row>
    <row r="204">
      <c r="A204" s="233" t="s">
        <v>83</v>
      </c>
      <c r="B204" s="234">
        <f>B43+B76+B108+B128+B147+B176</f>
        <v>4611132</v>
      </c>
      <c r="C204" s="308"/>
      <c r="D204" s="309"/>
      <c r="E204" s="60" t="s">
        <v>31</v>
      </c>
      <c r="F204" s="113">
        <f>B15+B57+B94+B161</f>
        <v>62.53</v>
      </c>
      <c r="G204" s="70"/>
      <c r="H204" s="70"/>
      <c r="I204" s="169"/>
      <c r="J204" s="148"/>
      <c r="K204" s="70"/>
    </row>
    <row r="205">
      <c r="A205" s="81" t="s">
        <v>84</v>
      </c>
      <c r="B205" s="82">
        <f>B201-(B203+B204)</f>
        <v>508217.55</v>
      </c>
      <c r="E205" s="60" t="s">
        <v>32</v>
      </c>
      <c r="F205" s="58">
        <f>B16+B162</f>
        <v>0</v>
      </c>
      <c r="G205" s="70"/>
      <c r="H205" s="157"/>
      <c r="I205" s="170"/>
      <c r="J205" s="148"/>
      <c r="K205" s="70"/>
    </row>
    <row r="206">
      <c r="A206" s="71" t="s">
        <v>85</v>
      </c>
      <c r="B206" s="89">
        <f>B205/B199</f>
        <v>0.05645695824</v>
      </c>
      <c r="E206" s="60" t="s">
        <v>33</v>
      </c>
      <c r="F206" s="58">
        <f>B17+B58+B96+B163+B187</f>
        <v>1652318.51</v>
      </c>
      <c r="G206" s="70"/>
      <c r="H206" s="70"/>
      <c r="I206" s="169"/>
      <c r="J206" s="148"/>
      <c r="K206" s="70"/>
    </row>
    <row r="207">
      <c r="A207" s="235" t="s">
        <v>86</v>
      </c>
      <c r="B207" s="310">
        <v>1354091.0</v>
      </c>
      <c r="E207" s="60" t="s">
        <v>131</v>
      </c>
      <c r="F207" s="166">
        <f>B19+B59+B97+B164</f>
        <v>111694.68</v>
      </c>
      <c r="G207" s="70"/>
      <c r="H207" s="129"/>
      <c r="I207" s="129"/>
      <c r="J207" s="70"/>
      <c r="K207" s="70"/>
    </row>
    <row r="208">
      <c r="A208" s="85" t="s">
        <v>87</v>
      </c>
      <c r="B208" s="86">
        <f>B207+B204+B203+B200</f>
        <v>9847731.96</v>
      </c>
      <c r="E208" s="60" t="s">
        <v>54</v>
      </c>
      <c r="F208" s="166">
        <f>B20+B21+B22+B23+B60+B67+B68+B165</f>
        <v>391814.24</v>
      </c>
      <c r="G208" s="129"/>
      <c r="H208" s="70"/>
      <c r="I208" s="70"/>
      <c r="J208" s="70"/>
      <c r="K208" s="70"/>
    </row>
    <row r="209">
      <c r="A209" s="87" t="s">
        <v>88</v>
      </c>
      <c r="B209" s="88">
        <f>B199-B208</f>
        <v>-845873.45</v>
      </c>
      <c r="E209" s="60" t="s">
        <v>93</v>
      </c>
      <c r="F209" s="166">
        <f>B5+B7+B10+B11+B14+B18+B24+B25+B26+B27+B28+B29+B30+B31+B32+B33+B34+B61+B62+B63+B64+B65+B66+B98+B99+B100+B101+B166+B167+B168+B169+B170</f>
        <v>685079.71</v>
      </c>
      <c r="G209" s="70"/>
      <c r="H209" s="70"/>
      <c r="I209" s="70"/>
      <c r="J209" s="70"/>
      <c r="K209" s="70"/>
    </row>
    <row r="210">
      <c r="A210" s="71" t="s">
        <v>89</v>
      </c>
      <c r="B210" s="89">
        <f>B209/B199</f>
        <v>-0.0939665347</v>
      </c>
      <c r="E210" s="60" t="s">
        <v>94</v>
      </c>
      <c r="F210" s="172" t="str">
        <f>B95</f>
        <v/>
      </c>
      <c r="G210" s="70"/>
      <c r="H210" s="70"/>
      <c r="I210" s="70"/>
      <c r="J210" s="70"/>
      <c r="K210" s="70"/>
    </row>
    <row r="211">
      <c r="E211" s="70"/>
      <c r="F211" s="172"/>
      <c r="G211" s="70"/>
      <c r="H211" s="70"/>
      <c r="I211" s="70"/>
      <c r="J211" s="70"/>
      <c r="K211" s="70"/>
    </row>
    <row r="212">
      <c r="E212" s="70"/>
      <c r="F212" s="172"/>
      <c r="G212" s="70"/>
      <c r="H212" s="70"/>
    </row>
    <row r="213">
      <c r="E213" s="129"/>
      <c r="F213" s="173"/>
      <c r="G213" s="129"/>
      <c r="H213" s="70"/>
    </row>
    <row r="214">
      <c r="E214" s="70"/>
      <c r="F214" s="70"/>
      <c r="G214" s="70"/>
      <c r="H214" s="70"/>
    </row>
    <row r="215">
      <c r="E215" s="70"/>
      <c r="F215" s="70"/>
      <c r="G215" s="70"/>
      <c r="H215" s="70"/>
    </row>
    <row r="216">
      <c r="A216" s="266" t="s">
        <v>167</v>
      </c>
      <c r="E216" s="70"/>
      <c r="F216" s="70"/>
      <c r="G216" s="70"/>
      <c r="H216" s="70"/>
    </row>
    <row r="217">
      <c r="A217" s="140" t="s">
        <v>122</v>
      </c>
      <c r="B217" s="140" t="s">
        <v>123</v>
      </c>
      <c r="C217" s="141" t="s">
        <v>159</v>
      </c>
      <c r="D217" s="141" t="s">
        <v>124</v>
      </c>
      <c r="E217" s="70"/>
      <c r="F217" s="70"/>
      <c r="G217" s="70"/>
      <c r="H217" s="70"/>
    </row>
    <row r="218">
      <c r="A218" s="142" t="s">
        <v>125</v>
      </c>
      <c r="B218" s="143">
        <f>B40</f>
        <v>6605422.43</v>
      </c>
      <c r="C218" s="238">
        <f>K35</f>
        <v>5829</v>
      </c>
      <c r="D218" s="144">
        <f t="shared" ref="D218:D223" si="77">C218/$C$224</f>
        <v>0.6660191956</v>
      </c>
      <c r="E218" s="70"/>
      <c r="F218" s="70"/>
      <c r="G218" s="70"/>
      <c r="H218" s="70"/>
    </row>
    <row r="219">
      <c r="A219" s="142" t="s">
        <v>48</v>
      </c>
      <c r="B219" s="143">
        <f>B72</f>
        <v>1581490.08</v>
      </c>
      <c r="C219" s="238">
        <f>I69</f>
        <v>1714</v>
      </c>
      <c r="D219" s="144">
        <f t="shared" si="77"/>
        <v>0.1958409506</v>
      </c>
      <c r="E219" s="70"/>
      <c r="F219" s="70"/>
      <c r="G219" s="70"/>
      <c r="H219" s="70"/>
    </row>
    <row r="220">
      <c r="A220" s="142" t="s">
        <v>70</v>
      </c>
      <c r="B220" s="143">
        <f>B122</f>
        <v>209456</v>
      </c>
      <c r="C220" s="238">
        <f>H122</f>
        <v>304</v>
      </c>
      <c r="D220" s="144">
        <f t="shared" si="77"/>
        <v>0.03473491773</v>
      </c>
      <c r="E220" s="70"/>
      <c r="F220" s="70"/>
      <c r="G220" s="70"/>
      <c r="H220" s="70"/>
    </row>
    <row r="221">
      <c r="A221" s="142" t="s">
        <v>76</v>
      </c>
      <c r="B221" s="143">
        <f>B142</f>
        <v>317933</v>
      </c>
      <c r="C221" s="238">
        <f>H142</f>
        <v>525</v>
      </c>
      <c r="D221" s="144">
        <f t="shared" si="77"/>
        <v>0.05998628885</v>
      </c>
    </row>
    <row r="222">
      <c r="A222" s="142" t="s">
        <v>78</v>
      </c>
      <c r="B222" s="143">
        <f>B173</f>
        <v>111607</v>
      </c>
      <c r="C222" s="238">
        <f>H171</f>
        <v>152</v>
      </c>
      <c r="D222" s="144">
        <f t="shared" si="77"/>
        <v>0.01736745887</v>
      </c>
      <c r="E222" s="70"/>
      <c r="F222" s="70"/>
      <c r="G222" s="70"/>
      <c r="H222" s="70"/>
    </row>
    <row r="223">
      <c r="A223" s="142" t="s">
        <v>64</v>
      </c>
      <c r="B223" s="143">
        <f>B105</f>
        <v>175950</v>
      </c>
      <c r="C223" s="238">
        <f>I102</f>
        <v>228</v>
      </c>
      <c r="D223" s="144">
        <f t="shared" si="77"/>
        <v>0.0260511883</v>
      </c>
    </row>
    <row r="224">
      <c r="A224" s="145" t="s">
        <v>38</v>
      </c>
      <c r="B224" s="146">
        <f t="shared" ref="B224:C224" si="78">SUM(B218:B223)</f>
        <v>9001858.51</v>
      </c>
      <c r="C224" s="239">
        <f t="shared" si="78"/>
        <v>8752</v>
      </c>
      <c r="D224" s="192">
        <v>1.0</v>
      </c>
    </row>
    <row r="229">
      <c r="A229" s="70"/>
      <c r="B229" s="70"/>
      <c r="C229" s="70"/>
      <c r="D229" s="70"/>
    </row>
    <row r="230">
      <c r="A230" s="70"/>
      <c r="B230" s="70"/>
      <c r="C230" s="70"/>
      <c r="D230" s="70"/>
    </row>
    <row r="231">
      <c r="A231" s="70"/>
      <c r="B231" s="70"/>
      <c r="C231" s="70"/>
      <c r="D231" s="70"/>
    </row>
    <row r="232">
      <c r="A232" s="267" t="s">
        <v>91</v>
      </c>
      <c r="B232" s="268">
        <f>SUM(B233:B239)</f>
        <v>8752</v>
      </c>
      <c r="C232" s="129"/>
      <c r="D232" s="70"/>
    </row>
    <row r="233">
      <c r="A233" s="107" t="s">
        <v>92</v>
      </c>
      <c r="B233" s="270">
        <f t="shared" ref="B233:B234" si="79">C218</f>
        <v>5829</v>
      </c>
      <c r="C233" s="148"/>
      <c r="D233" s="70"/>
    </row>
    <row r="234">
      <c r="A234" s="107" t="s">
        <v>48</v>
      </c>
      <c r="B234" s="270">
        <f t="shared" si="79"/>
        <v>1714</v>
      </c>
      <c r="C234" s="148"/>
      <c r="D234" s="70"/>
    </row>
    <row r="235">
      <c r="A235" s="107" t="s">
        <v>64</v>
      </c>
      <c r="B235" s="270">
        <f>C223</f>
        <v>228</v>
      </c>
      <c r="C235" s="148"/>
      <c r="D235" s="70"/>
    </row>
    <row r="236">
      <c r="A236" s="107" t="s">
        <v>70</v>
      </c>
      <c r="B236" s="270">
        <f t="shared" ref="B236:B238" si="80">C220</f>
        <v>304</v>
      </c>
      <c r="C236" s="148"/>
      <c r="D236" s="70"/>
    </row>
    <row r="237">
      <c r="A237" s="107" t="s">
        <v>76</v>
      </c>
      <c r="B237" s="270">
        <f t="shared" si="80"/>
        <v>525</v>
      </c>
      <c r="C237" s="148"/>
      <c r="D237" s="169">
        <f>B243/B235</f>
        <v>771.7105263</v>
      </c>
    </row>
    <row r="238">
      <c r="A238" s="107" t="s">
        <v>95</v>
      </c>
      <c r="B238" s="270">
        <f t="shared" si="80"/>
        <v>152</v>
      </c>
      <c r="C238" s="148"/>
      <c r="D238" s="70"/>
    </row>
    <row r="239">
      <c r="A239" s="107" t="s">
        <v>96</v>
      </c>
      <c r="B239" s="270"/>
      <c r="C239" s="148"/>
      <c r="D239" s="70"/>
    </row>
    <row r="240">
      <c r="A240" s="267" t="s">
        <v>97</v>
      </c>
      <c r="B240" s="272">
        <f>SUM(B241:B247)</f>
        <v>9001858.51</v>
      </c>
      <c r="C240" s="148"/>
      <c r="D240" s="70"/>
    </row>
    <row r="241">
      <c r="A241" s="107" t="s">
        <v>92</v>
      </c>
      <c r="B241" s="109">
        <f>B35</f>
        <v>6605422.43</v>
      </c>
      <c r="C241" s="149"/>
      <c r="D241" s="70"/>
    </row>
    <row r="242">
      <c r="A242" s="107" t="s">
        <v>48</v>
      </c>
      <c r="B242" s="109">
        <f>B69</f>
        <v>1581490.08</v>
      </c>
      <c r="C242" s="70"/>
      <c r="D242" s="70"/>
    </row>
    <row r="243">
      <c r="A243" s="107" t="s">
        <v>64</v>
      </c>
      <c r="B243" s="109">
        <f>B102</f>
        <v>175950</v>
      </c>
      <c r="C243" s="70"/>
      <c r="D243" s="70"/>
    </row>
    <row r="244">
      <c r="A244" s="107" t="s">
        <v>70</v>
      </c>
      <c r="B244" s="109">
        <f>B122</f>
        <v>209456</v>
      </c>
      <c r="C244" s="70"/>
      <c r="D244" s="70"/>
    </row>
    <row r="245">
      <c r="A245" s="107" t="s">
        <v>76</v>
      </c>
      <c r="B245" s="109">
        <f>B142</f>
        <v>317933</v>
      </c>
      <c r="C245" s="70"/>
      <c r="D245" s="70"/>
    </row>
    <row r="246">
      <c r="A246" s="107" t="s">
        <v>95</v>
      </c>
      <c r="B246" s="109">
        <f>B171</f>
        <v>111607</v>
      </c>
    </row>
    <row r="247">
      <c r="A247" s="107" t="s">
        <v>96</v>
      </c>
      <c r="B247" s="109"/>
    </row>
    <row r="248">
      <c r="A248" s="267" t="s">
        <v>98</v>
      </c>
      <c r="B248" s="272">
        <f>SUM(B249:B255)</f>
        <v>7628693.653</v>
      </c>
    </row>
    <row r="249">
      <c r="A249" s="107" t="s">
        <v>92</v>
      </c>
      <c r="B249" s="274">
        <f t="shared" ref="B249:B255" si="81">B241/1.18</f>
        <v>5597815.619</v>
      </c>
    </row>
    <row r="250">
      <c r="A250" s="107" t="s">
        <v>48</v>
      </c>
      <c r="B250" s="274">
        <f t="shared" si="81"/>
        <v>1340245.831</v>
      </c>
    </row>
    <row r="251">
      <c r="A251" s="107" t="s">
        <v>64</v>
      </c>
      <c r="B251" s="274">
        <f t="shared" si="81"/>
        <v>149110.1695</v>
      </c>
    </row>
    <row r="252">
      <c r="A252" s="107" t="s">
        <v>70</v>
      </c>
      <c r="B252" s="274">
        <f t="shared" si="81"/>
        <v>177505.0847</v>
      </c>
    </row>
    <row r="253">
      <c r="A253" s="107" t="s">
        <v>76</v>
      </c>
      <c r="B253" s="274">
        <f t="shared" si="81"/>
        <v>269434.7458</v>
      </c>
    </row>
    <row r="254">
      <c r="A254" s="107" t="s">
        <v>95</v>
      </c>
      <c r="B254" s="274">
        <f t="shared" si="81"/>
        <v>94582.20339</v>
      </c>
    </row>
    <row r="255">
      <c r="A255" s="107" t="s">
        <v>96</v>
      </c>
      <c r="B255" s="274">
        <f t="shared" si="81"/>
        <v>0</v>
      </c>
    </row>
    <row r="256">
      <c r="A256" s="297" t="s">
        <v>41</v>
      </c>
      <c r="B256" s="298">
        <f>B200/1.18</f>
        <v>2501808.441</v>
      </c>
    </row>
    <row r="257">
      <c r="A257" s="90" t="s">
        <v>80</v>
      </c>
      <c r="B257" s="97">
        <f>B248-B256</f>
        <v>5126885.212</v>
      </c>
    </row>
    <row r="258">
      <c r="A258" s="92" t="s">
        <v>99</v>
      </c>
      <c r="B258" s="98">
        <f>B257/B248</f>
        <v>0.672052837</v>
      </c>
    </row>
    <row r="259">
      <c r="A259" s="99" t="s">
        <v>100</v>
      </c>
      <c r="B259" s="100">
        <f>B42+B75+B127+B146+B175</f>
        <v>715275</v>
      </c>
    </row>
    <row r="260">
      <c r="A260" s="99" t="s">
        <v>101</v>
      </c>
      <c r="B260" s="100">
        <f>B74+B107</f>
        <v>215100</v>
      </c>
    </row>
    <row r="261">
      <c r="A261" s="101" t="s">
        <v>102</v>
      </c>
      <c r="B261" s="95">
        <f>B257-(B259+B260)</f>
        <v>4196510.212</v>
      </c>
    </row>
    <row r="262">
      <c r="A262" s="92" t="s">
        <v>103</v>
      </c>
      <c r="B262" s="98">
        <f>B261/B248</f>
        <v>0.5500955213</v>
      </c>
    </row>
    <row r="263">
      <c r="A263" s="28" t="s">
        <v>104</v>
      </c>
      <c r="B263" s="95">
        <f>B204/1.18</f>
        <v>3907738.983</v>
      </c>
    </row>
    <row r="264">
      <c r="A264" s="101" t="s">
        <v>105</v>
      </c>
      <c r="B264" s="95">
        <f>B261-B263</f>
        <v>288771.2288</v>
      </c>
    </row>
    <row r="265">
      <c r="A265" s="92" t="s">
        <v>106</v>
      </c>
      <c r="B265" s="102">
        <f>B264/B248</f>
        <v>0.03785329992</v>
      </c>
    </row>
    <row r="266">
      <c r="A266" s="28" t="s">
        <v>107</v>
      </c>
      <c r="B266" s="28">
        <v>550000.0</v>
      </c>
    </row>
    <row r="267">
      <c r="A267" s="28" t="s">
        <v>108</v>
      </c>
      <c r="B267" s="28">
        <v>380000.0</v>
      </c>
    </row>
    <row r="268">
      <c r="A268" s="28" t="s">
        <v>109</v>
      </c>
      <c r="B268" s="28">
        <v>80000.0</v>
      </c>
    </row>
    <row r="269">
      <c r="A269" s="28" t="s">
        <v>110</v>
      </c>
      <c r="B269" s="28">
        <v>85000.0</v>
      </c>
    </row>
    <row r="270">
      <c r="A270" s="28" t="s">
        <v>111</v>
      </c>
      <c r="B270" s="28">
        <v>60000.0</v>
      </c>
    </row>
    <row r="271">
      <c r="A271" s="101" t="s">
        <v>112</v>
      </c>
      <c r="B271" s="95">
        <f>B264-SUM(B266:B270)</f>
        <v>-866228.7712</v>
      </c>
    </row>
    <row r="272">
      <c r="A272" s="92" t="s">
        <v>113</v>
      </c>
      <c r="B272" s="102">
        <f>B271/B248</f>
        <v>-0.1135487687</v>
      </c>
    </row>
    <row r="273">
      <c r="A273" s="299"/>
      <c r="B273" s="300"/>
    </row>
    <row r="274">
      <c r="A274" s="299"/>
      <c r="B274" s="300"/>
    </row>
    <row r="275">
      <c r="A275" s="311" t="s">
        <v>182</v>
      </c>
    </row>
    <row r="276">
      <c r="A276" s="312" t="s">
        <v>21</v>
      </c>
      <c r="B276" s="313">
        <f>'April 25'!F175+'May 25'!F200+'June 25'!G205+'July 25'!F205+'Aug 25'!E183+'Sep 25'!E197+'Oct 25'!F214+F198</f>
        <v>17168098.75</v>
      </c>
    </row>
    <row r="277">
      <c r="A277" s="312" t="s">
        <v>23</v>
      </c>
      <c r="B277" s="313">
        <f>'April 25'!F176+'May 25'!F201+'June 25'!G206+'July 25'!F206+'Aug 25'!E184+'Sep 25'!E198+'Oct 25'!F215+F199</f>
        <v>16837833.16</v>
      </c>
    </row>
    <row r="278">
      <c r="A278" s="312" t="s">
        <v>25</v>
      </c>
      <c r="B278" s="313">
        <f>'April 25'!F177+'May 25'!F202+'June 25'!G207+'July 25'!F207+'Aug 25'!E185+'Sep 25'!E199+'Oct 25'!F216+F200</f>
        <v>2279528.554</v>
      </c>
    </row>
    <row r="279">
      <c r="A279" s="312" t="s">
        <v>26</v>
      </c>
      <c r="B279" s="313">
        <f>'April 25'!F178+'May 25'!F203+'June 25'!G208+'July 25'!F208+'Aug 25'!E186+'Sep 25'!E200+'Oct 25'!F217+F201</f>
        <v>4519800.28</v>
      </c>
    </row>
    <row r="280">
      <c r="A280" s="312" t="s">
        <v>28</v>
      </c>
      <c r="B280" s="313">
        <f>'April 25'!F179+'May 25'!F204+'June 25'!G209+'July 25'!F209+'Aug 25'!E187+'Sep 25'!E201+'Oct 25'!F218+F202</f>
        <v>222777.37</v>
      </c>
    </row>
    <row r="281">
      <c r="A281" s="312" t="s">
        <v>29</v>
      </c>
      <c r="B281" s="313">
        <f>'April 25'!F180+'May 25'!F205+'June 25'!G210+'July 25'!F210+'Aug 25'!E188+'Sep 25'!E202+'Oct 25'!F219+F203</f>
        <v>11650541.79</v>
      </c>
    </row>
    <row r="282">
      <c r="A282" s="312" t="s">
        <v>31</v>
      </c>
      <c r="B282" s="313">
        <f>'April 25'!F181+'May 25'!F206+'June 25'!G211+'July 25'!F211+'Aug 25'!E189+'Sep 25'!E203+'Oct 25'!F220+F204</f>
        <v>1030552.55</v>
      </c>
    </row>
    <row r="283">
      <c r="A283" s="312" t="s">
        <v>32</v>
      </c>
      <c r="B283" s="313">
        <f>'April 25'!F182+'May 25'!F207+'June 25'!G212+'July 25'!F212+'Aug 25'!E190+'Sep 25'!E204+'Oct 25'!F221+F205</f>
        <v>320609.8</v>
      </c>
    </row>
    <row r="284">
      <c r="A284" s="312" t="s">
        <v>33</v>
      </c>
      <c r="B284" s="313">
        <f>'April 25'!F183+'May 25'!F208+'June 25'!G213+'July 25'!F213+'Aug 25'!E191+'Sep 25'!E205+'Oct 25'!F222+F206</f>
        <v>14725120.05</v>
      </c>
    </row>
    <row r="285">
      <c r="A285" s="312" t="s">
        <v>131</v>
      </c>
      <c r="B285" s="313">
        <f>'July 25'!F214+'Aug 25'!E192+'June 25'!G216+'Sep 25'!E206+'Oct 25'!F223+F207</f>
        <v>1372318.9</v>
      </c>
    </row>
    <row r="286">
      <c r="A286" s="312" t="s">
        <v>54</v>
      </c>
      <c r="B286" s="313">
        <f>'April 25'!F184+'May 25'!F209+'June 25'!G214+'July 25'!F215+'Aug 25'!E193+'Sep 25'!E207+'Oct 25'!F224+F208</f>
        <v>3054022.87</v>
      </c>
    </row>
    <row r="287">
      <c r="A287" s="312" t="s">
        <v>93</v>
      </c>
      <c r="B287" s="313">
        <f>F209+'Oct 25'!F225+'Sep 25'!E208+'Aug 25'!E194+'July 25'!F216+'June 25'!G215+'May 25'!F210+'April 25'!F185</f>
        <v>6473671.888</v>
      </c>
    </row>
    <row r="288">
      <c r="A288" s="312" t="s">
        <v>94</v>
      </c>
      <c r="B288" s="313">
        <f>F210+'Oct 25'!F226+'Sep 25'!E209+'Aug 25'!E195+'July 25'!F217+'June 25'!G217+'May 25'!F211+'April 25'!F186</f>
        <v>13280</v>
      </c>
    </row>
    <row r="289">
      <c r="A289" s="107"/>
      <c r="B289" s="314">
        <f>SUM(B276:B288)</f>
        <v>79668155.95</v>
      </c>
    </row>
  </sheetData>
  <mergeCells count="1">
    <mergeCell ref="A275:B275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3.63"/>
    <col customWidth="1" min="5" max="5" width="12.88"/>
    <col customWidth="1" min="6" max="6" width="15.13"/>
    <col customWidth="1" min="9" max="9" width="14.63"/>
    <col customWidth="1" min="11" max="12" width="15.0"/>
    <col customWidth="1" min="13" max="14" width="13.75"/>
    <col customWidth="1" min="16" max="16" width="15.13"/>
    <col customWidth="1" min="17" max="17" width="11.38"/>
  </cols>
  <sheetData>
    <row r="1">
      <c r="A1" s="1" t="s">
        <v>183</v>
      </c>
      <c r="B1" s="19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9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>
      <c r="A3" s="5" t="s">
        <v>2</v>
      </c>
      <c r="B3" s="196" t="s">
        <v>128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</row>
    <row r="4">
      <c r="A4" s="5" t="s">
        <v>21</v>
      </c>
      <c r="B4" s="197">
        <v>868379.7</v>
      </c>
      <c r="C4" s="9">
        <f t="shared" ref="C4:C11" si="1">G4+J4+L4</f>
        <v>358939</v>
      </c>
      <c r="D4" s="240"/>
      <c r="E4" s="11">
        <f t="shared" ref="E4:E11" si="2">D4/B4*100</f>
        <v>0</v>
      </c>
      <c r="F4" s="12">
        <f t="shared" ref="F4:F11" si="3">D4/K4</f>
        <v>0</v>
      </c>
      <c r="G4" s="13"/>
      <c r="H4" s="8">
        <v>1226.0</v>
      </c>
      <c r="I4" s="8">
        <v>1203.0</v>
      </c>
      <c r="J4" s="14">
        <f t="shared" ref="J4:J11" si="4">K4*T4</f>
        <v>247060</v>
      </c>
      <c r="K4" s="8">
        <v>1123.0</v>
      </c>
      <c r="L4" s="15">
        <f t="shared" ref="L4:L35" si="5">I4*93</f>
        <v>111879</v>
      </c>
      <c r="M4" s="16">
        <f t="shared" ref="M4:M35" si="6">I4-K4-N4</f>
        <v>72</v>
      </c>
      <c r="N4" s="8">
        <v>8.0</v>
      </c>
      <c r="O4" s="17">
        <f t="shared" ref="O4:O35" si="7">IFERROR(M4/I4*100,0)</f>
        <v>5.985037406</v>
      </c>
      <c r="P4" s="18">
        <f t="shared" ref="P4:P19" si="8">I4/H4*100</f>
        <v>98.12398042</v>
      </c>
      <c r="Q4" s="19">
        <f t="shared" ref="Q4:Q19" si="9">K4/I4*100</f>
        <v>93.34995844</v>
      </c>
      <c r="R4" s="12">
        <f t="shared" ref="R4:R11" si="10">G4/K4</f>
        <v>0</v>
      </c>
      <c r="S4" s="198">
        <f t="shared" ref="S4:S36" si="11">(I4-H4)/H4</f>
        <v>-0.01876019576</v>
      </c>
      <c r="T4" s="65">
        <v>220.0</v>
      </c>
      <c r="U4" s="65"/>
      <c r="V4" s="3"/>
      <c r="W4" s="150" t="s">
        <v>2</v>
      </c>
      <c r="X4" s="242"/>
      <c r="Y4" s="3"/>
      <c r="Z4" s="3"/>
    </row>
    <row r="5">
      <c r="A5" s="5" t="s">
        <v>22</v>
      </c>
      <c r="B5" s="197">
        <v>41384.64</v>
      </c>
      <c r="C5" s="9">
        <f t="shared" si="1"/>
        <v>15203</v>
      </c>
      <c r="D5" s="240"/>
      <c r="E5" s="11">
        <f t="shared" si="2"/>
        <v>0</v>
      </c>
      <c r="F5" s="12">
        <f t="shared" si="3"/>
        <v>0</v>
      </c>
      <c r="G5" s="13"/>
      <c r="H5" s="8">
        <v>31.0</v>
      </c>
      <c r="I5" s="8">
        <v>31.0</v>
      </c>
      <c r="J5" s="14">
        <f t="shared" si="4"/>
        <v>12320</v>
      </c>
      <c r="K5" s="8">
        <v>28.0</v>
      </c>
      <c r="L5" s="15">
        <f t="shared" si="5"/>
        <v>2883</v>
      </c>
      <c r="M5" s="16">
        <f t="shared" si="6"/>
        <v>3</v>
      </c>
      <c r="N5" s="13"/>
      <c r="O5" s="17">
        <f t="shared" si="7"/>
        <v>9.677419355</v>
      </c>
      <c r="P5" s="18">
        <f t="shared" si="8"/>
        <v>100</v>
      </c>
      <c r="Q5" s="19">
        <f t="shared" si="9"/>
        <v>90.32258065</v>
      </c>
      <c r="R5" s="12">
        <f t="shared" si="10"/>
        <v>0</v>
      </c>
      <c r="S5" s="198">
        <f t="shared" si="11"/>
        <v>0</v>
      </c>
      <c r="T5" s="65">
        <v>440.0</v>
      </c>
      <c r="U5" s="65"/>
      <c r="V5" s="3"/>
      <c r="W5" s="151" t="s">
        <v>21</v>
      </c>
      <c r="X5" s="41"/>
      <c r="Y5" s="3"/>
      <c r="Z5" s="3"/>
    </row>
    <row r="6">
      <c r="A6" s="5" t="s">
        <v>23</v>
      </c>
      <c r="B6" s="197">
        <v>1017321.68</v>
      </c>
      <c r="C6" s="21">
        <f t="shared" si="1"/>
        <v>426576</v>
      </c>
      <c r="D6" s="243"/>
      <c r="E6" s="11">
        <f t="shared" si="2"/>
        <v>0</v>
      </c>
      <c r="F6" s="12">
        <f t="shared" si="3"/>
        <v>0</v>
      </c>
      <c r="G6" s="23"/>
      <c r="H6" s="8">
        <v>1206.0</v>
      </c>
      <c r="I6" s="8">
        <v>1184.0</v>
      </c>
      <c r="J6" s="14">
        <f t="shared" si="4"/>
        <v>316464</v>
      </c>
      <c r="K6" s="8">
        <v>1041.0</v>
      </c>
      <c r="L6" s="15">
        <f t="shared" si="5"/>
        <v>110112</v>
      </c>
      <c r="M6" s="16">
        <f t="shared" si="6"/>
        <v>124</v>
      </c>
      <c r="N6" s="8">
        <v>19.0</v>
      </c>
      <c r="O6" s="17">
        <f t="shared" si="7"/>
        <v>10.47297297</v>
      </c>
      <c r="P6" s="18">
        <f t="shared" si="8"/>
        <v>98.17578773</v>
      </c>
      <c r="Q6" s="19">
        <f t="shared" si="9"/>
        <v>87.9222973</v>
      </c>
      <c r="R6" s="12">
        <f t="shared" si="10"/>
        <v>0</v>
      </c>
      <c r="S6" s="198">
        <f t="shared" si="11"/>
        <v>-0.01824212272</v>
      </c>
      <c r="T6" s="65">
        <v>304.0</v>
      </c>
      <c r="U6" s="65"/>
      <c r="V6" s="3"/>
      <c r="W6" s="151" t="s">
        <v>23</v>
      </c>
      <c r="X6" s="41"/>
      <c r="Y6" s="3"/>
      <c r="Z6" s="3"/>
    </row>
    <row r="7">
      <c r="A7" s="5" t="s">
        <v>24</v>
      </c>
      <c r="B7" s="197">
        <v>32442.1</v>
      </c>
      <c r="C7" s="21">
        <f t="shared" si="1"/>
        <v>12897</v>
      </c>
      <c r="D7" s="243"/>
      <c r="E7" s="11">
        <f t="shared" si="2"/>
        <v>0</v>
      </c>
      <c r="F7" s="12">
        <f t="shared" si="3"/>
        <v>0</v>
      </c>
      <c r="G7" s="23"/>
      <c r="H7" s="8">
        <v>22.0</v>
      </c>
      <c r="I7" s="8">
        <v>21.0</v>
      </c>
      <c r="J7" s="14">
        <f t="shared" si="4"/>
        <v>10944</v>
      </c>
      <c r="K7" s="8">
        <v>18.0</v>
      </c>
      <c r="L7" s="15">
        <f t="shared" si="5"/>
        <v>1953</v>
      </c>
      <c r="M7" s="16">
        <f t="shared" si="6"/>
        <v>2</v>
      </c>
      <c r="N7" s="8">
        <v>1.0</v>
      </c>
      <c r="O7" s="17">
        <f t="shared" si="7"/>
        <v>9.523809524</v>
      </c>
      <c r="P7" s="18">
        <f t="shared" si="8"/>
        <v>95.45454545</v>
      </c>
      <c r="Q7" s="19">
        <f t="shared" si="9"/>
        <v>85.71428571</v>
      </c>
      <c r="R7" s="12">
        <f t="shared" si="10"/>
        <v>0</v>
      </c>
      <c r="S7" s="198">
        <f t="shared" si="11"/>
        <v>-0.04545454545</v>
      </c>
      <c r="T7" s="65">
        <v>608.0</v>
      </c>
      <c r="U7" s="65"/>
      <c r="V7" s="3"/>
      <c r="W7" s="151" t="s">
        <v>25</v>
      </c>
      <c r="X7" s="41"/>
      <c r="Y7" s="3"/>
      <c r="Z7" s="3"/>
    </row>
    <row r="8">
      <c r="A8" s="5" t="s">
        <v>25</v>
      </c>
      <c r="B8" s="197">
        <v>309449.87</v>
      </c>
      <c r="C8" s="9">
        <f t="shared" si="1"/>
        <v>160979</v>
      </c>
      <c r="D8" s="240"/>
      <c r="E8" s="11">
        <f t="shared" si="2"/>
        <v>0</v>
      </c>
      <c r="F8" s="12">
        <f t="shared" si="3"/>
        <v>0</v>
      </c>
      <c r="G8" s="13"/>
      <c r="H8" s="8">
        <v>234.0</v>
      </c>
      <c r="I8" s="8">
        <v>229.0</v>
      </c>
      <c r="J8" s="14">
        <f t="shared" si="4"/>
        <v>139682</v>
      </c>
      <c r="K8" s="8">
        <v>211.0</v>
      </c>
      <c r="L8" s="15">
        <f t="shared" si="5"/>
        <v>21297</v>
      </c>
      <c r="M8" s="16">
        <f t="shared" si="6"/>
        <v>18</v>
      </c>
      <c r="N8" s="13"/>
      <c r="O8" s="17">
        <f t="shared" si="7"/>
        <v>7.860262009</v>
      </c>
      <c r="P8" s="18">
        <f t="shared" si="8"/>
        <v>97.86324786</v>
      </c>
      <c r="Q8" s="19">
        <f t="shared" si="9"/>
        <v>92.13973799</v>
      </c>
      <c r="R8" s="12">
        <f t="shared" si="10"/>
        <v>0</v>
      </c>
      <c r="S8" s="198">
        <f t="shared" si="11"/>
        <v>-0.02136752137</v>
      </c>
      <c r="T8" s="65">
        <v>662.0</v>
      </c>
      <c r="U8" s="65"/>
      <c r="V8" s="3"/>
      <c r="W8" s="151" t="s">
        <v>26</v>
      </c>
      <c r="X8" s="41"/>
      <c r="Y8" s="3"/>
      <c r="Z8" s="3"/>
    </row>
    <row r="9">
      <c r="A9" s="5" t="s">
        <v>26</v>
      </c>
      <c r="B9" s="197">
        <v>86889.73</v>
      </c>
      <c r="C9" s="9">
        <f t="shared" si="1"/>
        <v>36557</v>
      </c>
      <c r="D9" s="240"/>
      <c r="E9" s="11">
        <f t="shared" si="2"/>
        <v>0</v>
      </c>
      <c r="F9" s="12">
        <f t="shared" si="3"/>
        <v>0</v>
      </c>
      <c r="G9" s="13"/>
      <c r="H9" s="8">
        <v>200.0</v>
      </c>
      <c r="I9" s="8">
        <v>33.0</v>
      </c>
      <c r="J9" s="14">
        <f t="shared" si="4"/>
        <v>33488</v>
      </c>
      <c r="K9" s="8">
        <v>182.0</v>
      </c>
      <c r="L9" s="15">
        <f t="shared" si="5"/>
        <v>3069</v>
      </c>
      <c r="M9" s="16">
        <f t="shared" si="6"/>
        <v>-151</v>
      </c>
      <c r="N9" s="8">
        <v>2.0</v>
      </c>
      <c r="O9" s="17">
        <f t="shared" si="7"/>
        <v>-457.5757576</v>
      </c>
      <c r="P9" s="18">
        <f t="shared" si="8"/>
        <v>16.5</v>
      </c>
      <c r="Q9" s="19">
        <f t="shared" si="9"/>
        <v>551.5151515</v>
      </c>
      <c r="R9" s="12">
        <f t="shared" si="10"/>
        <v>0</v>
      </c>
      <c r="S9" s="198">
        <f t="shared" si="11"/>
        <v>-0.835</v>
      </c>
      <c r="T9" s="65">
        <v>184.0</v>
      </c>
      <c r="U9" s="65"/>
      <c r="V9" s="3"/>
      <c r="W9" s="151" t="s">
        <v>28</v>
      </c>
      <c r="X9" s="41"/>
      <c r="Y9" s="3"/>
      <c r="Z9" s="3"/>
    </row>
    <row r="10">
      <c r="A10" s="5" t="s">
        <v>27</v>
      </c>
      <c r="B10" s="197">
        <v>20435.3</v>
      </c>
      <c r="C10" s="9">
        <f t="shared" si="1"/>
        <v>6377</v>
      </c>
      <c r="D10" s="240"/>
      <c r="E10" s="11">
        <f t="shared" si="2"/>
        <v>0</v>
      </c>
      <c r="F10" s="12">
        <f t="shared" si="3"/>
        <v>0</v>
      </c>
      <c r="G10" s="13"/>
      <c r="H10" s="8">
        <v>29.0</v>
      </c>
      <c r="I10" s="8">
        <v>29.0</v>
      </c>
      <c r="J10" s="14">
        <f t="shared" si="4"/>
        <v>3680</v>
      </c>
      <c r="K10" s="8">
        <v>10.0</v>
      </c>
      <c r="L10" s="15">
        <f t="shared" si="5"/>
        <v>2697</v>
      </c>
      <c r="M10" s="16">
        <f t="shared" si="6"/>
        <v>18</v>
      </c>
      <c r="N10" s="8">
        <v>1.0</v>
      </c>
      <c r="O10" s="17">
        <f t="shared" si="7"/>
        <v>62.06896552</v>
      </c>
      <c r="P10" s="18">
        <f t="shared" si="8"/>
        <v>100</v>
      </c>
      <c r="Q10" s="19">
        <f t="shared" si="9"/>
        <v>34.48275862</v>
      </c>
      <c r="R10" s="12">
        <f t="shared" si="10"/>
        <v>0</v>
      </c>
      <c r="S10" s="198">
        <f t="shared" si="11"/>
        <v>0</v>
      </c>
      <c r="T10" s="65">
        <v>368.0</v>
      </c>
      <c r="U10" s="65"/>
      <c r="V10" s="3"/>
      <c r="W10" s="151" t="s">
        <v>29</v>
      </c>
      <c r="X10" s="41"/>
      <c r="Y10" s="3"/>
      <c r="Z10" s="3"/>
    </row>
    <row r="11">
      <c r="A11" s="5" t="s">
        <v>154</v>
      </c>
      <c r="B11" s="197">
        <v>1049.34</v>
      </c>
      <c r="C11" s="9">
        <f t="shared" si="1"/>
        <v>461</v>
      </c>
      <c r="D11" s="240"/>
      <c r="E11" s="11">
        <f t="shared" si="2"/>
        <v>0</v>
      </c>
      <c r="F11" s="12">
        <f t="shared" si="3"/>
        <v>0</v>
      </c>
      <c r="G11" s="13"/>
      <c r="H11" s="8">
        <v>1.0</v>
      </c>
      <c r="I11" s="8">
        <v>1.0</v>
      </c>
      <c r="J11" s="14">
        <f t="shared" si="4"/>
        <v>368</v>
      </c>
      <c r="K11" s="8">
        <v>1.0</v>
      </c>
      <c r="L11" s="15">
        <f t="shared" si="5"/>
        <v>93</v>
      </c>
      <c r="M11" s="16">
        <f t="shared" si="6"/>
        <v>0</v>
      </c>
      <c r="N11" s="13"/>
      <c r="O11" s="17">
        <f t="shared" si="7"/>
        <v>0</v>
      </c>
      <c r="P11" s="18">
        <f t="shared" si="8"/>
        <v>100</v>
      </c>
      <c r="Q11" s="19">
        <f t="shared" si="9"/>
        <v>100</v>
      </c>
      <c r="R11" s="12">
        <f t="shared" si="10"/>
        <v>0</v>
      </c>
      <c r="S11" s="198">
        <f t="shared" si="11"/>
        <v>0</v>
      </c>
      <c r="T11" s="65">
        <v>368.0</v>
      </c>
      <c r="U11" s="65"/>
      <c r="V11" s="3"/>
      <c r="W11" s="151"/>
      <c r="X11" s="3"/>
      <c r="Y11" s="3"/>
      <c r="Z11" s="3"/>
    </row>
    <row r="12">
      <c r="A12" s="5" t="s">
        <v>28</v>
      </c>
      <c r="B12" s="197">
        <v>0.0</v>
      </c>
      <c r="C12" s="9">
        <v>0.0</v>
      </c>
      <c r="D12" s="240"/>
      <c r="E12" s="11">
        <v>0.0</v>
      </c>
      <c r="F12" s="12">
        <v>0.0</v>
      </c>
      <c r="G12" s="13"/>
      <c r="H12" s="8">
        <v>0.0</v>
      </c>
      <c r="I12" s="8">
        <v>0.0</v>
      </c>
      <c r="J12" s="14">
        <v>0.0</v>
      </c>
      <c r="K12" s="8">
        <v>0.0</v>
      </c>
      <c r="L12" s="15">
        <f t="shared" si="5"/>
        <v>0</v>
      </c>
      <c r="M12" s="16">
        <f t="shared" si="6"/>
        <v>0</v>
      </c>
      <c r="N12" s="13"/>
      <c r="O12" s="17">
        <f t="shared" si="7"/>
        <v>0</v>
      </c>
      <c r="P12" s="18" t="str">
        <f t="shared" si="8"/>
        <v>#DIV/0!</v>
      </c>
      <c r="Q12" s="19" t="str">
        <f t="shared" si="9"/>
        <v>#DIV/0!</v>
      </c>
      <c r="R12" s="155"/>
      <c r="S12" s="198" t="str">
        <f t="shared" si="11"/>
        <v>#DIV/0!</v>
      </c>
      <c r="T12" s="65">
        <v>206.0</v>
      </c>
      <c r="U12" s="65"/>
      <c r="V12" s="3"/>
      <c r="W12" s="151" t="s">
        <v>31</v>
      </c>
      <c r="X12" s="41"/>
      <c r="Y12" s="3"/>
      <c r="Z12" s="3"/>
    </row>
    <row r="13">
      <c r="A13" s="5" t="s">
        <v>29</v>
      </c>
      <c r="B13" s="197">
        <v>1018296.07</v>
      </c>
      <c r="C13" s="9">
        <f t="shared" ref="C13:C15" si="12">G13+J13+L13</f>
        <v>435133</v>
      </c>
      <c r="D13" s="240"/>
      <c r="E13" s="11">
        <f t="shared" ref="E13:E19" si="13">D13/B13*100</f>
        <v>0</v>
      </c>
      <c r="F13" s="12">
        <f t="shared" ref="F13:F15" si="14">D13/K13</f>
        <v>0</v>
      </c>
      <c r="G13" s="13"/>
      <c r="H13" s="8">
        <v>1191.0</v>
      </c>
      <c r="I13" s="8">
        <v>1165.0</v>
      </c>
      <c r="J13" s="14">
        <f t="shared" ref="J13:J35" si="15">K13*T13</f>
        <v>326788</v>
      </c>
      <c r="K13" s="8">
        <v>1061.0</v>
      </c>
      <c r="L13" s="15">
        <f t="shared" si="5"/>
        <v>108345</v>
      </c>
      <c r="M13" s="16">
        <f t="shared" si="6"/>
        <v>90</v>
      </c>
      <c r="N13" s="8">
        <v>14.0</v>
      </c>
      <c r="O13" s="17">
        <f t="shared" si="7"/>
        <v>7.725321888</v>
      </c>
      <c r="P13" s="18">
        <f t="shared" si="8"/>
        <v>97.81696054</v>
      </c>
      <c r="Q13" s="19">
        <f t="shared" si="9"/>
        <v>91.07296137</v>
      </c>
      <c r="R13" s="12">
        <f t="shared" ref="R13:R15" si="16">G13/K13</f>
        <v>0</v>
      </c>
      <c r="S13" s="198">
        <f t="shared" si="11"/>
        <v>-0.02183039463</v>
      </c>
      <c r="T13" s="65">
        <v>308.0</v>
      </c>
      <c r="U13" s="65"/>
      <c r="V13" s="3"/>
      <c r="W13" s="151" t="s">
        <v>32</v>
      </c>
      <c r="X13" s="41"/>
      <c r="Y13" s="3"/>
      <c r="Z13" s="3"/>
    </row>
    <row r="14">
      <c r="A14" s="5" t="s">
        <v>30</v>
      </c>
      <c r="B14" s="197">
        <v>36568.31</v>
      </c>
      <c r="C14" s="21">
        <f t="shared" si="12"/>
        <v>14680</v>
      </c>
      <c r="D14" s="243"/>
      <c r="E14" s="11">
        <f t="shared" si="13"/>
        <v>0</v>
      </c>
      <c r="F14" s="12">
        <f t="shared" si="14"/>
        <v>0</v>
      </c>
      <c r="G14" s="23"/>
      <c r="H14" s="8">
        <v>22.0</v>
      </c>
      <c r="I14" s="8">
        <v>32.0</v>
      </c>
      <c r="J14" s="14">
        <f t="shared" si="15"/>
        <v>11704</v>
      </c>
      <c r="K14" s="8">
        <v>19.0</v>
      </c>
      <c r="L14" s="15">
        <f t="shared" si="5"/>
        <v>2976</v>
      </c>
      <c r="M14" s="16">
        <f t="shared" si="6"/>
        <v>13</v>
      </c>
      <c r="N14" s="13"/>
      <c r="O14" s="17">
        <f t="shared" si="7"/>
        <v>40.625</v>
      </c>
      <c r="P14" s="18">
        <f t="shared" si="8"/>
        <v>145.4545455</v>
      </c>
      <c r="Q14" s="19">
        <f t="shared" si="9"/>
        <v>59.375</v>
      </c>
      <c r="R14" s="12">
        <f t="shared" si="16"/>
        <v>0</v>
      </c>
      <c r="S14" s="198">
        <f t="shared" si="11"/>
        <v>0.4545454545</v>
      </c>
      <c r="T14" s="65">
        <v>616.0</v>
      </c>
      <c r="U14" s="65"/>
      <c r="V14" s="3"/>
      <c r="W14" s="151" t="s">
        <v>33</v>
      </c>
      <c r="X14" s="41"/>
      <c r="Y14" s="3"/>
      <c r="Z14" s="3"/>
    </row>
    <row r="15">
      <c r="A15" s="5" t="s">
        <v>31</v>
      </c>
      <c r="B15" s="197">
        <v>0.0</v>
      </c>
      <c r="C15" s="21">
        <f t="shared" si="12"/>
        <v>0</v>
      </c>
      <c r="D15" s="243"/>
      <c r="E15" s="11" t="str">
        <f t="shared" si="13"/>
        <v>#DIV/0!</v>
      </c>
      <c r="F15" s="12" t="str">
        <f t="shared" si="14"/>
        <v>#DIV/0!</v>
      </c>
      <c r="G15" s="23"/>
      <c r="H15" s="8">
        <v>0.0</v>
      </c>
      <c r="I15" s="8">
        <v>0.0</v>
      </c>
      <c r="J15" s="14">
        <f t="shared" si="15"/>
        <v>0</v>
      </c>
      <c r="K15" s="8">
        <v>0.0</v>
      </c>
      <c r="L15" s="15">
        <f t="shared" si="5"/>
        <v>0</v>
      </c>
      <c r="M15" s="16">
        <f t="shared" si="6"/>
        <v>0</v>
      </c>
      <c r="N15" s="13"/>
      <c r="O15" s="17">
        <f t="shared" si="7"/>
        <v>0</v>
      </c>
      <c r="P15" s="18" t="str">
        <f t="shared" si="8"/>
        <v>#DIV/0!</v>
      </c>
      <c r="Q15" s="19" t="str">
        <f t="shared" si="9"/>
        <v>#DIV/0!</v>
      </c>
      <c r="R15" s="12" t="str">
        <f t="shared" si="16"/>
        <v>#DIV/0!</v>
      </c>
      <c r="S15" s="198" t="str">
        <f t="shared" si="11"/>
        <v>#DIV/0!</v>
      </c>
      <c r="T15" s="65">
        <v>435.0</v>
      </c>
      <c r="U15" s="65"/>
      <c r="V15" s="3"/>
      <c r="W15" s="151" t="s">
        <v>131</v>
      </c>
      <c r="X15" s="41"/>
      <c r="Y15" s="3"/>
      <c r="Z15" s="3"/>
    </row>
    <row r="16">
      <c r="A16" s="5" t="s">
        <v>32</v>
      </c>
      <c r="B16" s="197">
        <v>0.0</v>
      </c>
      <c r="C16" s="21">
        <v>0.0</v>
      </c>
      <c r="D16" s="243"/>
      <c r="E16" s="11" t="str">
        <f t="shared" si="13"/>
        <v>#DIV/0!</v>
      </c>
      <c r="F16" s="12">
        <v>0.0</v>
      </c>
      <c r="G16" s="23"/>
      <c r="H16" s="8">
        <v>0.0</v>
      </c>
      <c r="I16" s="8">
        <v>0.0</v>
      </c>
      <c r="J16" s="14">
        <f t="shared" si="15"/>
        <v>0</v>
      </c>
      <c r="K16" s="8">
        <v>0.0</v>
      </c>
      <c r="L16" s="15">
        <f t="shared" si="5"/>
        <v>0</v>
      </c>
      <c r="M16" s="16">
        <f t="shared" si="6"/>
        <v>0</v>
      </c>
      <c r="N16" s="13"/>
      <c r="O16" s="17">
        <f t="shared" si="7"/>
        <v>0</v>
      </c>
      <c r="P16" s="18" t="str">
        <f t="shared" si="8"/>
        <v>#DIV/0!</v>
      </c>
      <c r="Q16" s="19" t="str">
        <f t="shared" si="9"/>
        <v>#DIV/0!</v>
      </c>
      <c r="R16" s="155"/>
      <c r="S16" s="198" t="str">
        <f t="shared" si="11"/>
        <v>#DIV/0!</v>
      </c>
      <c r="T16" s="65">
        <v>699.0</v>
      </c>
      <c r="U16" s="65"/>
      <c r="V16" s="3"/>
      <c r="W16" s="156"/>
      <c r="X16" s="3"/>
      <c r="Y16" s="3"/>
      <c r="Z16" s="3"/>
    </row>
    <row r="17">
      <c r="A17" s="5" t="s">
        <v>33</v>
      </c>
      <c r="B17" s="197">
        <v>1470690.36</v>
      </c>
      <c r="C17" s="21">
        <f t="shared" ref="C17:C19" si="17">G17+J17+L17</f>
        <v>774038</v>
      </c>
      <c r="D17" s="243"/>
      <c r="E17" s="11">
        <f t="shared" si="13"/>
        <v>0</v>
      </c>
      <c r="F17" s="12">
        <f t="shared" ref="F17:F19" si="18">D17/K17</f>
        <v>0</v>
      </c>
      <c r="G17" s="23"/>
      <c r="H17" s="8">
        <v>1008.0</v>
      </c>
      <c r="I17" s="8">
        <v>978.0</v>
      </c>
      <c r="J17" s="14">
        <f t="shared" si="15"/>
        <v>683084</v>
      </c>
      <c r="K17" s="8">
        <v>878.0</v>
      </c>
      <c r="L17" s="15">
        <f t="shared" si="5"/>
        <v>90954</v>
      </c>
      <c r="M17" s="16">
        <f t="shared" si="6"/>
        <v>78</v>
      </c>
      <c r="N17" s="8">
        <v>22.0</v>
      </c>
      <c r="O17" s="17">
        <f t="shared" si="7"/>
        <v>7.975460123</v>
      </c>
      <c r="P17" s="18">
        <f t="shared" si="8"/>
        <v>97.02380952</v>
      </c>
      <c r="Q17" s="19">
        <f t="shared" si="9"/>
        <v>89.77505112</v>
      </c>
      <c r="R17" s="12">
        <f t="shared" ref="R17:R19" si="19">G17/K17</f>
        <v>0</v>
      </c>
      <c r="S17" s="198">
        <f t="shared" si="11"/>
        <v>-0.02976190476</v>
      </c>
      <c r="T17" s="65">
        <v>778.0</v>
      </c>
      <c r="U17" s="65"/>
      <c r="V17" s="3"/>
      <c r="W17" s="3"/>
      <c r="X17" s="3"/>
      <c r="Y17" s="3"/>
      <c r="Z17" s="3"/>
    </row>
    <row r="18">
      <c r="A18" s="5" t="s">
        <v>34</v>
      </c>
      <c r="B18" s="197">
        <v>63029.13</v>
      </c>
      <c r="C18" s="21">
        <f t="shared" si="17"/>
        <v>41411</v>
      </c>
      <c r="D18" s="243"/>
      <c r="E18" s="11">
        <f t="shared" si="13"/>
        <v>0</v>
      </c>
      <c r="F18" s="12">
        <f t="shared" si="18"/>
        <v>0</v>
      </c>
      <c r="G18" s="23"/>
      <c r="H18" s="8">
        <v>28.0</v>
      </c>
      <c r="I18" s="8">
        <v>27.0</v>
      </c>
      <c r="J18" s="14">
        <f t="shared" si="15"/>
        <v>38900</v>
      </c>
      <c r="K18" s="8">
        <v>25.0</v>
      </c>
      <c r="L18" s="15">
        <f t="shared" si="5"/>
        <v>2511</v>
      </c>
      <c r="M18" s="16">
        <f t="shared" si="6"/>
        <v>2</v>
      </c>
      <c r="N18" s="13"/>
      <c r="O18" s="17">
        <f t="shared" si="7"/>
        <v>7.407407407</v>
      </c>
      <c r="P18" s="18">
        <f t="shared" si="8"/>
        <v>96.42857143</v>
      </c>
      <c r="Q18" s="19">
        <f t="shared" si="9"/>
        <v>92.59259259</v>
      </c>
      <c r="R18" s="12">
        <f t="shared" si="19"/>
        <v>0</v>
      </c>
      <c r="S18" s="198">
        <f t="shared" si="11"/>
        <v>-0.03571428571</v>
      </c>
      <c r="T18" s="65">
        <v>1556.0</v>
      </c>
      <c r="U18" s="65"/>
      <c r="V18" s="3"/>
      <c r="W18" s="3"/>
      <c r="X18" s="3"/>
      <c r="Y18" s="3"/>
      <c r="Z18" s="3"/>
    </row>
    <row r="19">
      <c r="A19" s="5" t="s">
        <v>131</v>
      </c>
      <c r="B19" s="197">
        <v>195613.96</v>
      </c>
      <c r="C19" s="21">
        <f t="shared" si="17"/>
        <v>133170</v>
      </c>
      <c r="D19" s="243"/>
      <c r="E19" s="11">
        <f t="shared" si="13"/>
        <v>0</v>
      </c>
      <c r="F19" s="12">
        <f t="shared" si="18"/>
        <v>0</v>
      </c>
      <c r="G19" s="23"/>
      <c r="H19" s="8">
        <v>134.0</v>
      </c>
      <c r="I19" s="8">
        <v>130.0</v>
      </c>
      <c r="J19" s="14">
        <f t="shared" si="15"/>
        <v>121080</v>
      </c>
      <c r="K19" s="8">
        <v>120.0</v>
      </c>
      <c r="L19" s="15">
        <f t="shared" si="5"/>
        <v>12090</v>
      </c>
      <c r="M19" s="16">
        <f t="shared" si="6"/>
        <v>10</v>
      </c>
      <c r="N19" s="13"/>
      <c r="O19" s="17">
        <f t="shared" si="7"/>
        <v>7.692307692</v>
      </c>
      <c r="P19" s="18">
        <f t="shared" si="8"/>
        <v>97.01492537</v>
      </c>
      <c r="Q19" s="19">
        <f t="shared" si="9"/>
        <v>92.30769231</v>
      </c>
      <c r="R19" s="12">
        <f t="shared" si="19"/>
        <v>0</v>
      </c>
      <c r="S19" s="198">
        <f t="shared" si="11"/>
        <v>-0.02985074627</v>
      </c>
      <c r="T19" s="65">
        <v>1009.0</v>
      </c>
      <c r="U19" s="65"/>
      <c r="V19" s="3"/>
      <c r="W19" s="3"/>
      <c r="X19" s="3"/>
      <c r="Y19" s="3"/>
      <c r="Z19" s="3"/>
    </row>
    <row r="20">
      <c r="A20" s="5" t="s">
        <v>37</v>
      </c>
      <c r="B20" s="197">
        <v>0.0</v>
      </c>
      <c r="C20" s="21">
        <v>0.0</v>
      </c>
      <c r="D20" s="243"/>
      <c r="E20" s="11">
        <v>0.0</v>
      </c>
      <c r="F20" s="12">
        <v>0.0</v>
      </c>
      <c r="G20" s="23"/>
      <c r="H20" s="8">
        <v>0.0</v>
      </c>
      <c r="I20" s="8">
        <v>0.0</v>
      </c>
      <c r="J20" s="14">
        <f t="shared" si="15"/>
        <v>0</v>
      </c>
      <c r="K20" s="8">
        <v>0.0</v>
      </c>
      <c r="L20" s="15">
        <f t="shared" si="5"/>
        <v>0</v>
      </c>
      <c r="M20" s="16">
        <f t="shared" si="6"/>
        <v>-3</v>
      </c>
      <c r="N20" s="8">
        <v>3.0</v>
      </c>
      <c r="O20" s="17">
        <f t="shared" si="7"/>
        <v>0</v>
      </c>
      <c r="P20" s="18">
        <v>0.0</v>
      </c>
      <c r="Q20" s="19">
        <v>0.0</v>
      </c>
      <c r="R20" s="12">
        <v>0.0</v>
      </c>
      <c r="S20" s="198" t="str">
        <f t="shared" si="11"/>
        <v>#DIV/0!</v>
      </c>
      <c r="T20" s="65">
        <v>250.0</v>
      </c>
      <c r="U20" s="65"/>
      <c r="V20" s="3"/>
      <c r="W20" s="3"/>
      <c r="X20" s="3"/>
      <c r="Y20" s="3"/>
      <c r="Z20" s="3"/>
    </row>
    <row r="21">
      <c r="A21" s="5" t="s">
        <v>132</v>
      </c>
      <c r="B21" s="197">
        <v>116932.03</v>
      </c>
      <c r="C21" s="21">
        <f t="shared" ref="C21:C35" si="20">G21+J21+L21</f>
        <v>16692</v>
      </c>
      <c r="D21" s="243"/>
      <c r="E21" s="11">
        <f t="shared" ref="E21:E35" si="21">D21/B21*100</f>
        <v>0</v>
      </c>
      <c r="F21" s="12">
        <f t="shared" ref="F21:F35" si="22">D21/K21</f>
        <v>0</v>
      </c>
      <c r="G21" s="23"/>
      <c r="H21" s="8">
        <v>158.0</v>
      </c>
      <c r="I21" s="8">
        <v>44.0</v>
      </c>
      <c r="J21" s="14">
        <f t="shared" si="15"/>
        <v>12600</v>
      </c>
      <c r="K21" s="8">
        <v>42.0</v>
      </c>
      <c r="L21" s="15">
        <f t="shared" si="5"/>
        <v>4092</v>
      </c>
      <c r="M21" s="16">
        <f t="shared" si="6"/>
        <v>2</v>
      </c>
      <c r="N21" s="13"/>
      <c r="O21" s="17">
        <f t="shared" si="7"/>
        <v>4.545454545</v>
      </c>
      <c r="P21" s="18">
        <f t="shared" ref="P21:P35" si="23">I21/H21*100</f>
        <v>27.84810127</v>
      </c>
      <c r="Q21" s="19">
        <f t="shared" ref="Q21:Q35" si="24">K21/I21*100</f>
        <v>95.45454545</v>
      </c>
      <c r="R21" s="12">
        <f t="shared" ref="R21:R35" si="25">G21/K21</f>
        <v>0</v>
      </c>
      <c r="S21" s="198">
        <f t="shared" si="11"/>
        <v>-0.7215189873</v>
      </c>
      <c r="T21" s="65">
        <v>300.0</v>
      </c>
      <c r="U21" s="65"/>
      <c r="V21" s="3"/>
      <c r="W21" s="3"/>
      <c r="X21" s="3"/>
      <c r="Y21" s="3"/>
      <c r="Z21" s="3"/>
    </row>
    <row r="22">
      <c r="A22" s="5" t="s">
        <v>146</v>
      </c>
      <c r="B22" s="197">
        <v>166340.58</v>
      </c>
      <c r="C22" s="21">
        <f t="shared" si="20"/>
        <v>82653</v>
      </c>
      <c r="D22" s="243"/>
      <c r="E22" s="11">
        <f t="shared" si="21"/>
        <v>0</v>
      </c>
      <c r="F22" s="12">
        <f t="shared" si="22"/>
        <v>0</v>
      </c>
      <c r="G22" s="23"/>
      <c r="H22" s="8">
        <v>226.0</v>
      </c>
      <c r="I22" s="8">
        <v>221.0</v>
      </c>
      <c r="J22" s="14">
        <f t="shared" si="15"/>
        <v>62100</v>
      </c>
      <c r="K22" s="8">
        <v>207.0</v>
      </c>
      <c r="L22" s="15">
        <f t="shared" si="5"/>
        <v>20553</v>
      </c>
      <c r="M22" s="16">
        <f t="shared" si="6"/>
        <v>9</v>
      </c>
      <c r="N22" s="8">
        <v>5.0</v>
      </c>
      <c r="O22" s="17">
        <f t="shared" si="7"/>
        <v>4.07239819</v>
      </c>
      <c r="P22" s="18">
        <f t="shared" si="23"/>
        <v>97.78761062</v>
      </c>
      <c r="Q22" s="19">
        <f t="shared" si="24"/>
        <v>93.66515837</v>
      </c>
      <c r="R22" s="12">
        <f t="shared" si="25"/>
        <v>0</v>
      </c>
      <c r="S22" s="198">
        <f t="shared" si="11"/>
        <v>-0.02212389381</v>
      </c>
      <c r="T22" s="65">
        <v>300.0</v>
      </c>
      <c r="U22" s="65"/>
      <c r="V22" s="3"/>
      <c r="W22" s="3"/>
      <c r="X22" s="3"/>
      <c r="Y22" s="3"/>
      <c r="Z22" s="3"/>
    </row>
    <row r="23">
      <c r="A23" s="5" t="s">
        <v>133</v>
      </c>
      <c r="B23" s="197">
        <v>0.0</v>
      </c>
      <c r="C23" s="21">
        <f t="shared" si="20"/>
        <v>0</v>
      </c>
      <c r="D23" s="243"/>
      <c r="E23" s="11" t="str">
        <f t="shared" si="21"/>
        <v>#DIV/0!</v>
      </c>
      <c r="F23" s="12" t="str">
        <f t="shared" si="22"/>
        <v>#DIV/0!</v>
      </c>
      <c r="G23" s="23"/>
      <c r="H23" s="8">
        <v>0.0</v>
      </c>
      <c r="I23" s="8">
        <v>0.0</v>
      </c>
      <c r="J23" s="14">
        <f t="shared" si="15"/>
        <v>0</v>
      </c>
      <c r="K23" s="8">
        <v>0.0</v>
      </c>
      <c r="L23" s="15">
        <f t="shared" si="5"/>
        <v>0</v>
      </c>
      <c r="M23" s="16">
        <f t="shared" si="6"/>
        <v>0</v>
      </c>
      <c r="N23" s="13"/>
      <c r="O23" s="17">
        <f t="shared" si="7"/>
        <v>0</v>
      </c>
      <c r="P23" s="18" t="str">
        <f t="shared" si="23"/>
        <v>#DIV/0!</v>
      </c>
      <c r="Q23" s="19" t="str">
        <f t="shared" si="24"/>
        <v>#DIV/0!</v>
      </c>
      <c r="R23" s="12" t="str">
        <f t="shared" si="25"/>
        <v>#DIV/0!</v>
      </c>
      <c r="S23" s="198" t="str">
        <f t="shared" si="11"/>
        <v>#DIV/0!</v>
      </c>
      <c r="T23" s="65">
        <v>300.0</v>
      </c>
      <c r="U23" s="65"/>
      <c r="V23" s="3"/>
      <c r="W23" s="3"/>
      <c r="X23" s="3"/>
      <c r="Y23" s="3"/>
      <c r="Z23" s="3"/>
    </row>
    <row r="24">
      <c r="A24" s="5" t="s">
        <v>134</v>
      </c>
      <c r="B24" s="197">
        <v>84060.38</v>
      </c>
      <c r="C24" s="21">
        <f t="shared" si="20"/>
        <v>60963</v>
      </c>
      <c r="D24" s="243"/>
      <c r="E24" s="11">
        <f t="shared" si="21"/>
        <v>0</v>
      </c>
      <c r="F24" s="12">
        <f t="shared" si="22"/>
        <v>0</v>
      </c>
      <c r="G24" s="23"/>
      <c r="H24" s="8">
        <v>33.0</v>
      </c>
      <c r="I24" s="8">
        <v>191.0</v>
      </c>
      <c r="J24" s="14">
        <f t="shared" si="15"/>
        <v>43200</v>
      </c>
      <c r="K24" s="8">
        <v>30.0</v>
      </c>
      <c r="L24" s="15">
        <f t="shared" si="5"/>
        <v>17763</v>
      </c>
      <c r="M24" s="16">
        <f t="shared" si="6"/>
        <v>160</v>
      </c>
      <c r="N24" s="8">
        <v>1.0</v>
      </c>
      <c r="O24" s="17">
        <f t="shared" si="7"/>
        <v>83.76963351</v>
      </c>
      <c r="P24" s="18">
        <f t="shared" si="23"/>
        <v>578.7878788</v>
      </c>
      <c r="Q24" s="19">
        <f t="shared" si="24"/>
        <v>15.70680628</v>
      </c>
      <c r="R24" s="12">
        <f t="shared" si="25"/>
        <v>0</v>
      </c>
      <c r="S24" s="198">
        <f t="shared" si="11"/>
        <v>4.787878788</v>
      </c>
      <c r="T24" s="65">
        <v>1440.0</v>
      </c>
      <c r="U24" s="65"/>
      <c r="V24" s="3"/>
      <c r="W24" s="3"/>
      <c r="X24" s="3"/>
      <c r="Y24" s="3"/>
      <c r="Z24" s="3"/>
    </row>
    <row r="25">
      <c r="A25" s="5" t="s">
        <v>135</v>
      </c>
      <c r="B25" s="197">
        <v>88363.91</v>
      </c>
      <c r="C25" s="21">
        <f t="shared" si="20"/>
        <v>207451</v>
      </c>
      <c r="D25" s="243"/>
      <c r="E25" s="11">
        <f t="shared" si="21"/>
        <v>0</v>
      </c>
      <c r="F25" s="12">
        <f t="shared" si="22"/>
        <v>0</v>
      </c>
      <c r="G25" s="23"/>
      <c r="H25" s="8">
        <v>44.0</v>
      </c>
      <c r="I25" s="8">
        <v>117.0</v>
      </c>
      <c r="J25" s="14">
        <f t="shared" si="15"/>
        <v>196570</v>
      </c>
      <c r="K25" s="8">
        <v>110.0</v>
      </c>
      <c r="L25" s="15">
        <f t="shared" si="5"/>
        <v>10881</v>
      </c>
      <c r="M25" s="16">
        <f t="shared" si="6"/>
        <v>7</v>
      </c>
      <c r="N25" s="13"/>
      <c r="O25" s="17">
        <f t="shared" si="7"/>
        <v>5.982905983</v>
      </c>
      <c r="P25" s="18">
        <f t="shared" si="23"/>
        <v>265.9090909</v>
      </c>
      <c r="Q25" s="19">
        <f t="shared" si="24"/>
        <v>94.01709402</v>
      </c>
      <c r="R25" s="12">
        <f t="shared" si="25"/>
        <v>0</v>
      </c>
      <c r="S25" s="198">
        <f t="shared" si="11"/>
        <v>1.659090909</v>
      </c>
      <c r="T25" s="65">
        <v>1787.0</v>
      </c>
      <c r="U25" s="65"/>
      <c r="V25" s="3"/>
      <c r="W25" s="3"/>
      <c r="X25" s="3"/>
      <c r="Y25" s="3"/>
      <c r="Z25" s="3"/>
    </row>
    <row r="26">
      <c r="A26" s="5" t="s">
        <v>136</v>
      </c>
      <c r="B26" s="197">
        <v>0.0</v>
      </c>
      <c r="C26" s="21">
        <f t="shared" si="20"/>
        <v>0</v>
      </c>
      <c r="D26" s="243"/>
      <c r="E26" s="11" t="str">
        <f t="shared" si="21"/>
        <v>#DIV/0!</v>
      </c>
      <c r="F26" s="12" t="str">
        <f t="shared" si="22"/>
        <v>#DIV/0!</v>
      </c>
      <c r="G26" s="23"/>
      <c r="H26" s="8">
        <v>0.0</v>
      </c>
      <c r="I26" s="8">
        <v>0.0</v>
      </c>
      <c r="J26" s="14">
        <f t="shared" si="15"/>
        <v>0</v>
      </c>
      <c r="K26" s="8">
        <v>0.0</v>
      </c>
      <c r="L26" s="15">
        <f t="shared" si="5"/>
        <v>0</v>
      </c>
      <c r="M26" s="16">
        <f t="shared" si="6"/>
        <v>0</v>
      </c>
      <c r="N26" s="13"/>
      <c r="O26" s="17">
        <f t="shared" si="7"/>
        <v>0</v>
      </c>
      <c r="P26" s="18" t="str">
        <f t="shared" si="23"/>
        <v>#DIV/0!</v>
      </c>
      <c r="Q26" s="19" t="str">
        <f t="shared" si="24"/>
        <v>#DIV/0!</v>
      </c>
      <c r="R26" s="12" t="str">
        <f t="shared" si="25"/>
        <v>#DIV/0!</v>
      </c>
      <c r="S26" s="198" t="str">
        <f t="shared" si="11"/>
        <v>#DIV/0!</v>
      </c>
      <c r="T26" s="65">
        <v>619.0</v>
      </c>
      <c r="U26" s="65"/>
      <c r="V26" s="3"/>
      <c r="W26" s="3"/>
      <c r="X26" s="3"/>
      <c r="Y26" s="3"/>
      <c r="Z26" s="3"/>
    </row>
    <row r="27">
      <c r="A27" s="5" t="s">
        <v>137</v>
      </c>
      <c r="B27" s="197">
        <v>39296.61</v>
      </c>
      <c r="C27" s="21">
        <f t="shared" si="20"/>
        <v>14974</v>
      </c>
      <c r="D27" s="243"/>
      <c r="E27" s="11">
        <f t="shared" si="21"/>
        <v>0</v>
      </c>
      <c r="F27" s="12">
        <f t="shared" si="22"/>
        <v>0</v>
      </c>
      <c r="G27" s="23"/>
      <c r="H27" s="8">
        <v>33.0</v>
      </c>
      <c r="I27" s="8">
        <v>22.0</v>
      </c>
      <c r="J27" s="14">
        <f t="shared" si="15"/>
        <v>12928</v>
      </c>
      <c r="K27" s="8">
        <v>32.0</v>
      </c>
      <c r="L27" s="15">
        <f t="shared" si="5"/>
        <v>2046</v>
      </c>
      <c r="M27" s="16">
        <f t="shared" si="6"/>
        <v>-10</v>
      </c>
      <c r="N27" s="13"/>
      <c r="O27" s="17">
        <f t="shared" si="7"/>
        <v>-45.45454545</v>
      </c>
      <c r="P27" s="18">
        <f t="shared" si="23"/>
        <v>66.66666667</v>
      </c>
      <c r="Q27" s="19">
        <f t="shared" si="24"/>
        <v>145.4545455</v>
      </c>
      <c r="R27" s="12">
        <f t="shared" si="25"/>
        <v>0</v>
      </c>
      <c r="S27" s="198">
        <f t="shared" si="11"/>
        <v>-0.3333333333</v>
      </c>
      <c r="T27" s="65">
        <v>404.0</v>
      </c>
      <c r="U27" s="65"/>
      <c r="V27" s="3"/>
      <c r="W27" s="3"/>
      <c r="X27" s="3"/>
      <c r="Y27" s="3"/>
      <c r="Z27" s="3"/>
    </row>
    <row r="28">
      <c r="A28" s="5" t="s">
        <v>138</v>
      </c>
      <c r="B28" s="197">
        <v>0.0</v>
      </c>
      <c r="C28" s="21">
        <f t="shared" si="20"/>
        <v>0</v>
      </c>
      <c r="D28" s="243"/>
      <c r="E28" s="11" t="str">
        <f t="shared" si="21"/>
        <v>#DIV/0!</v>
      </c>
      <c r="F28" s="12" t="str">
        <f t="shared" si="22"/>
        <v>#DIV/0!</v>
      </c>
      <c r="G28" s="23"/>
      <c r="H28" s="8">
        <v>0.0</v>
      </c>
      <c r="I28" s="8">
        <v>0.0</v>
      </c>
      <c r="J28" s="14">
        <f t="shared" si="15"/>
        <v>0</v>
      </c>
      <c r="K28" s="8">
        <v>0.0</v>
      </c>
      <c r="L28" s="15">
        <f t="shared" si="5"/>
        <v>0</v>
      </c>
      <c r="M28" s="16">
        <f t="shared" si="6"/>
        <v>0</v>
      </c>
      <c r="N28" s="13"/>
      <c r="O28" s="17">
        <f t="shared" si="7"/>
        <v>0</v>
      </c>
      <c r="P28" s="18" t="str">
        <f t="shared" si="23"/>
        <v>#DIV/0!</v>
      </c>
      <c r="Q28" s="19" t="str">
        <f t="shared" si="24"/>
        <v>#DIV/0!</v>
      </c>
      <c r="R28" s="12" t="str">
        <f t="shared" si="25"/>
        <v>#DIV/0!</v>
      </c>
      <c r="S28" s="198" t="str">
        <f t="shared" si="11"/>
        <v>#DIV/0!</v>
      </c>
      <c r="T28" s="65">
        <v>655.0</v>
      </c>
      <c r="U28" s="65"/>
      <c r="V28" s="3"/>
      <c r="W28" s="3"/>
      <c r="X28" s="3"/>
      <c r="Y28" s="3"/>
      <c r="Z28" s="3"/>
    </row>
    <row r="29">
      <c r="A29" s="5" t="s">
        <v>35</v>
      </c>
      <c r="B29" s="197">
        <v>20000.43</v>
      </c>
      <c r="C29" s="21">
        <f t="shared" si="20"/>
        <v>15618</v>
      </c>
      <c r="D29" s="243"/>
      <c r="E29" s="11">
        <f t="shared" si="21"/>
        <v>0</v>
      </c>
      <c r="F29" s="12">
        <f t="shared" si="22"/>
        <v>0</v>
      </c>
      <c r="G29" s="23"/>
      <c r="H29" s="8">
        <v>10.0</v>
      </c>
      <c r="I29" s="8">
        <v>10.0</v>
      </c>
      <c r="J29" s="14">
        <f t="shared" si="15"/>
        <v>14688</v>
      </c>
      <c r="K29" s="8">
        <v>24.0</v>
      </c>
      <c r="L29" s="15">
        <f t="shared" si="5"/>
        <v>930</v>
      </c>
      <c r="M29" s="16">
        <f t="shared" si="6"/>
        <v>-14</v>
      </c>
      <c r="N29" s="13"/>
      <c r="O29" s="17">
        <f t="shared" si="7"/>
        <v>-140</v>
      </c>
      <c r="P29" s="18">
        <f t="shared" si="23"/>
        <v>100</v>
      </c>
      <c r="Q29" s="19">
        <f t="shared" si="24"/>
        <v>240</v>
      </c>
      <c r="R29" s="12">
        <f t="shared" si="25"/>
        <v>0</v>
      </c>
      <c r="S29" s="198">
        <f t="shared" si="11"/>
        <v>0</v>
      </c>
      <c r="T29" s="65">
        <v>612.0</v>
      </c>
      <c r="U29" s="65"/>
      <c r="V29" s="3"/>
      <c r="W29" s="3"/>
      <c r="X29" s="3"/>
      <c r="Y29" s="3"/>
      <c r="Z29" s="3"/>
    </row>
    <row r="30">
      <c r="A30" s="5" t="s">
        <v>139</v>
      </c>
      <c r="B30" s="197">
        <v>0.0</v>
      </c>
      <c r="C30" s="21">
        <f t="shared" si="20"/>
        <v>0</v>
      </c>
      <c r="D30" s="243"/>
      <c r="E30" s="11" t="str">
        <f t="shared" si="21"/>
        <v>#DIV/0!</v>
      </c>
      <c r="F30" s="12" t="str">
        <f t="shared" si="22"/>
        <v>#DIV/0!</v>
      </c>
      <c r="G30" s="23"/>
      <c r="H30" s="8">
        <v>0.0</v>
      </c>
      <c r="I30" s="8">
        <v>0.0</v>
      </c>
      <c r="J30" s="14">
        <f t="shared" si="15"/>
        <v>0</v>
      </c>
      <c r="K30" s="8">
        <v>0.0</v>
      </c>
      <c r="L30" s="15">
        <f t="shared" si="5"/>
        <v>0</v>
      </c>
      <c r="M30" s="16">
        <f t="shared" si="6"/>
        <v>0</v>
      </c>
      <c r="N30" s="13"/>
      <c r="O30" s="17">
        <f t="shared" si="7"/>
        <v>0</v>
      </c>
      <c r="P30" s="18" t="str">
        <f t="shared" si="23"/>
        <v>#DIV/0!</v>
      </c>
      <c r="Q30" s="19" t="str">
        <f t="shared" si="24"/>
        <v>#DIV/0!</v>
      </c>
      <c r="R30" s="12" t="str">
        <f t="shared" si="25"/>
        <v>#DIV/0!</v>
      </c>
      <c r="S30" s="198" t="str">
        <f t="shared" si="11"/>
        <v>#DIV/0!</v>
      </c>
      <c r="T30" s="65">
        <v>743.0</v>
      </c>
      <c r="U30" s="65"/>
      <c r="V30" s="3"/>
      <c r="W30" s="3"/>
      <c r="X30" s="3"/>
      <c r="Y30" s="3"/>
      <c r="Z30" s="3"/>
    </row>
    <row r="31">
      <c r="A31" s="5" t="s">
        <v>140</v>
      </c>
      <c r="B31" s="197">
        <v>0.0</v>
      </c>
      <c r="C31" s="21">
        <f t="shared" si="20"/>
        <v>0</v>
      </c>
      <c r="D31" s="243"/>
      <c r="E31" s="11" t="str">
        <f t="shared" si="21"/>
        <v>#DIV/0!</v>
      </c>
      <c r="F31" s="12" t="str">
        <f t="shared" si="22"/>
        <v>#DIV/0!</v>
      </c>
      <c r="G31" s="23"/>
      <c r="H31" s="8">
        <v>0.0</v>
      </c>
      <c r="I31" s="8">
        <v>0.0</v>
      </c>
      <c r="J31" s="14">
        <f t="shared" si="15"/>
        <v>0</v>
      </c>
      <c r="K31" s="8">
        <v>0.0</v>
      </c>
      <c r="L31" s="15">
        <f t="shared" si="5"/>
        <v>0</v>
      </c>
      <c r="M31" s="16">
        <f t="shared" si="6"/>
        <v>0</v>
      </c>
      <c r="N31" s="13"/>
      <c r="O31" s="17">
        <f t="shared" si="7"/>
        <v>0</v>
      </c>
      <c r="P31" s="18" t="str">
        <f t="shared" si="23"/>
        <v>#DIV/0!</v>
      </c>
      <c r="Q31" s="19" t="str">
        <f t="shared" si="24"/>
        <v>#DIV/0!</v>
      </c>
      <c r="R31" s="12" t="str">
        <f t="shared" si="25"/>
        <v>#DIV/0!</v>
      </c>
      <c r="S31" s="198" t="str">
        <f t="shared" si="11"/>
        <v>#DIV/0!</v>
      </c>
      <c r="T31" s="65">
        <v>739.0</v>
      </c>
      <c r="U31" s="65"/>
      <c r="V31" s="3"/>
      <c r="W31" s="3"/>
      <c r="X31" s="3"/>
      <c r="Y31" s="3"/>
      <c r="Z31" s="3"/>
    </row>
    <row r="32">
      <c r="A32" s="5" t="s">
        <v>141</v>
      </c>
      <c r="B32" s="197">
        <v>31376.03</v>
      </c>
      <c r="C32" s="21">
        <f t="shared" si="20"/>
        <v>11199</v>
      </c>
      <c r="D32" s="243"/>
      <c r="E32" s="11">
        <f t="shared" si="21"/>
        <v>0</v>
      </c>
      <c r="F32" s="12">
        <f t="shared" si="22"/>
        <v>0</v>
      </c>
      <c r="G32" s="23"/>
      <c r="H32" s="8">
        <v>19.0</v>
      </c>
      <c r="I32" s="8">
        <v>19.0</v>
      </c>
      <c r="J32" s="14">
        <f t="shared" si="15"/>
        <v>9432</v>
      </c>
      <c r="K32" s="8">
        <v>18.0</v>
      </c>
      <c r="L32" s="15">
        <f t="shared" si="5"/>
        <v>1767</v>
      </c>
      <c r="M32" s="16">
        <f t="shared" si="6"/>
        <v>1</v>
      </c>
      <c r="N32" s="13"/>
      <c r="O32" s="17">
        <f t="shared" si="7"/>
        <v>5.263157895</v>
      </c>
      <c r="P32" s="18">
        <f t="shared" si="23"/>
        <v>100</v>
      </c>
      <c r="Q32" s="19">
        <f t="shared" si="24"/>
        <v>94.73684211</v>
      </c>
      <c r="R32" s="12">
        <f t="shared" si="25"/>
        <v>0</v>
      </c>
      <c r="S32" s="198">
        <f t="shared" si="11"/>
        <v>0</v>
      </c>
      <c r="T32" s="65">
        <v>524.0</v>
      </c>
      <c r="U32" s="65"/>
      <c r="V32" s="3"/>
      <c r="W32" s="3"/>
      <c r="X32" s="3"/>
      <c r="Y32" s="3"/>
      <c r="Z32" s="3"/>
    </row>
    <row r="33">
      <c r="A33" s="5" t="s">
        <v>36</v>
      </c>
      <c r="B33" s="197">
        <v>7083.31</v>
      </c>
      <c r="C33" s="21">
        <f t="shared" si="20"/>
        <v>2340</v>
      </c>
      <c r="D33" s="243"/>
      <c r="E33" s="11">
        <f t="shared" si="21"/>
        <v>0</v>
      </c>
      <c r="F33" s="12">
        <f t="shared" si="22"/>
        <v>0</v>
      </c>
      <c r="G33" s="23"/>
      <c r="H33" s="8">
        <v>4.0</v>
      </c>
      <c r="I33" s="8">
        <v>4.0</v>
      </c>
      <c r="J33" s="14">
        <f t="shared" si="15"/>
        <v>1968</v>
      </c>
      <c r="K33" s="8">
        <v>4.0</v>
      </c>
      <c r="L33" s="15">
        <f t="shared" si="5"/>
        <v>372</v>
      </c>
      <c r="M33" s="16">
        <f t="shared" si="6"/>
        <v>0</v>
      </c>
      <c r="N33" s="13"/>
      <c r="O33" s="17">
        <f t="shared" si="7"/>
        <v>0</v>
      </c>
      <c r="P33" s="18">
        <f t="shared" si="23"/>
        <v>100</v>
      </c>
      <c r="Q33" s="19">
        <f t="shared" si="24"/>
        <v>100</v>
      </c>
      <c r="R33" s="12">
        <f t="shared" si="25"/>
        <v>0</v>
      </c>
      <c r="S33" s="198">
        <f t="shared" si="11"/>
        <v>0</v>
      </c>
      <c r="T33" s="65">
        <v>492.0</v>
      </c>
      <c r="U33" s="65"/>
      <c r="V33" s="3"/>
      <c r="W33" s="3"/>
      <c r="X33" s="3"/>
      <c r="Y33" s="3"/>
      <c r="Z33" s="3"/>
    </row>
    <row r="34">
      <c r="A34" s="199" t="s">
        <v>142</v>
      </c>
      <c r="B34" s="197">
        <v>12201.59</v>
      </c>
      <c r="C34" s="21">
        <f t="shared" si="20"/>
        <v>5229</v>
      </c>
      <c r="D34" s="243"/>
      <c r="E34" s="11">
        <f t="shared" si="21"/>
        <v>0</v>
      </c>
      <c r="F34" s="12">
        <f t="shared" si="22"/>
        <v>0</v>
      </c>
      <c r="G34" s="23"/>
      <c r="H34" s="197">
        <v>9.0</v>
      </c>
      <c r="I34" s="197">
        <v>9.0</v>
      </c>
      <c r="J34" s="200">
        <f t="shared" si="15"/>
        <v>4392</v>
      </c>
      <c r="K34" s="197">
        <v>9.0</v>
      </c>
      <c r="L34" s="201">
        <f t="shared" si="5"/>
        <v>837</v>
      </c>
      <c r="M34" s="202">
        <f t="shared" si="6"/>
        <v>0</v>
      </c>
      <c r="N34" s="23"/>
      <c r="O34" s="17">
        <f t="shared" si="7"/>
        <v>0</v>
      </c>
      <c r="P34" s="18">
        <f t="shared" si="23"/>
        <v>100</v>
      </c>
      <c r="Q34" s="19">
        <f t="shared" si="24"/>
        <v>100</v>
      </c>
      <c r="R34" s="12">
        <f t="shared" si="25"/>
        <v>0</v>
      </c>
      <c r="S34" s="198">
        <f t="shared" si="11"/>
        <v>0</v>
      </c>
      <c r="T34" s="183">
        <v>488.0</v>
      </c>
      <c r="U34" s="183"/>
      <c r="V34" s="37"/>
      <c r="W34" s="37"/>
      <c r="X34" s="37"/>
      <c r="Y34" s="37"/>
      <c r="Z34" s="37"/>
    </row>
    <row r="35">
      <c r="A35" s="315" t="s">
        <v>184</v>
      </c>
      <c r="B35" s="197">
        <v>49769.8</v>
      </c>
      <c r="C35" s="21">
        <f t="shared" si="20"/>
        <v>11806</v>
      </c>
      <c r="D35" s="243"/>
      <c r="E35" s="11">
        <f t="shared" si="21"/>
        <v>0</v>
      </c>
      <c r="F35" s="12">
        <f t="shared" si="22"/>
        <v>0</v>
      </c>
      <c r="G35" s="23"/>
      <c r="H35" s="8">
        <v>23.0</v>
      </c>
      <c r="I35" s="8">
        <v>22.0</v>
      </c>
      <c r="J35" s="14">
        <f t="shared" si="15"/>
        <v>9760</v>
      </c>
      <c r="K35" s="8">
        <v>20.0</v>
      </c>
      <c r="L35" s="15">
        <f t="shared" si="5"/>
        <v>2046</v>
      </c>
      <c r="M35" s="16">
        <f t="shared" si="6"/>
        <v>2</v>
      </c>
      <c r="N35" s="13"/>
      <c r="O35" s="17">
        <f t="shared" si="7"/>
        <v>9.090909091</v>
      </c>
      <c r="P35" s="18">
        <f t="shared" si="23"/>
        <v>95.65217391</v>
      </c>
      <c r="Q35" s="19">
        <f t="shared" si="24"/>
        <v>90.90909091</v>
      </c>
      <c r="R35" s="12">
        <f t="shared" si="25"/>
        <v>0</v>
      </c>
      <c r="S35" s="198">
        <f t="shared" si="11"/>
        <v>-0.04347826087</v>
      </c>
      <c r="T35" s="65">
        <v>488.0</v>
      </c>
      <c r="U35" s="3"/>
      <c r="V35" s="3"/>
      <c r="W35" s="156"/>
      <c r="X35" s="3"/>
      <c r="Y35" s="3"/>
      <c r="Z35" s="3"/>
    </row>
    <row r="36">
      <c r="A36" s="24" t="s">
        <v>38</v>
      </c>
      <c r="B36" s="179">
        <f>sum(B4:B35)+97000</f>
        <v>5873974.86</v>
      </c>
      <c r="C36" s="28"/>
      <c r="D36" s="25">
        <f>SUM(D4:D34)</f>
        <v>0</v>
      </c>
      <c r="E36" s="26"/>
      <c r="F36" s="26"/>
      <c r="G36" s="158">
        <v>3516973.0</v>
      </c>
      <c r="H36" s="25">
        <f t="shared" ref="H36:N36" si="26">SUM(H4:H35)</f>
        <v>5891</v>
      </c>
      <c r="I36" s="25">
        <f t="shared" si="26"/>
        <v>5722</v>
      </c>
      <c r="J36" s="25">
        <f t="shared" si="26"/>
        <v>2313200</v>
      </c>
      <c r="K36" s="25">
        <f t="shared" si="26"/>
        <v>5213</v>
      </c>
      <c r="L36" s="25">
        <f t="shared" si="26"/>
        <v>532146</v>
      </c>
      <c r="M36" s="25">
        <f t="shared" si="26"/>
        <v>433</v>
      </c>
      <c r="N36" s="25">
        <f t="shared" si="26"/>
        <v>76</v>
      </c>
      <c r="O36" s="198">
        <f>M36/K36</f>
        <v>0.08306157683</v>
      </c>
      <c r="P36" s="203">
        <f>I36/H36</f>
        <v>0.9713121711</v>
      </c>
      <c r="Q36" s="203">
        <f>K36/H36</f>
        <v>0.8849091835</v>
      </c>
      <c r="R36" s="29" t="str">
        <f>SUM(R4:R34)</f>
        <v>#DIV/0!</v>
      </c>
      <c r="S36" s="198">
        <f t="shared" si="11"/>
        <v>-0.02868782889</v>
      </c>
      <c r="T36" s="28"/>
      <c r="U36" s="3"/>
      <c r="V36" s="3"/>
      <c r="W36" s="156"/>
      <c r="X36" s="3"/>
      <c r="Y36" s="3"/>
      <c r="Z36" s="3"/>
    </row>
    <row r="37">
      <c r="A37" s="3"/>
      <c r="B37" s="37"/>
      <c r="C37" s="3"/>
      <c r="D37" s="3"/>
      <c r="E37" s="37"/>
      <c r="F37" s="3"/>
      <c r="G37" s="37"/>
      <c r="H37" s="3"/>
      <c r="I37" s="3"/>
      <c r="J37" s="205"/>
      <c r="K37" s="204"/>
      <c r="L37" s="3"/>
      <c r="M37" s="205"/>
      <c r="N37" s="3"/>
      <c r="O37" s="205"/>
      <c r="P37" s="3"/>
      <c r="Q37" s="3"/>
      <c r="R37" s="3"/>
      <c r="S37" s="3"/>
      <c r="T37" s="3"/>
      <c r="U37" s="3"/>
      <c r="V37" s="3"/>
      <c r="W37" s="156"/>
      <c r="X37" s="3"/>
      <c r="Y37" s="3"/>
      <c r="Z37" s="3"/>
    </row>
    <row r="38">
      <c r="A38" s="3"/>
      <c r="B38" s="37"/>
      <c r="C38" s="3"/>
      <c r="D38" s="3"/>
      <c r="E38" s="37"/>
      <c r="F38" s="35"/>
      <c r="G38" s="37"/>
      <c r="H38" s="3"/>
      <c r="I38" s="3"/>
      <c r="J38" s="35"/>
      <c r="K38" s="204"/>
      <c r="L38" s="3"/>
      <c r="M38" s="3"/>
      <c r="N38" s="41">
        <f>N36*1000</f>
        <v>76000</v>
      </c>
      <c r="O38" s="61">
        <f>N36/H36</f>
        <v>0.01290103548</v>
      </c>
      <c r="P38" s="3"/>
      <c r="Q38" s="3"/>
      <c r="R38" s="3"/>
      <c r="S38" s="3"/>
      <c r="T38" s="3"/>
      <c r="U38" s="3"/>
      <c r="V38" s="3"/>
      <c r="W38" s="156"/>
      <c r="X38" s="3"/>
      <c r="Y38" s="3"/>
      <c r="Z38" s="3"/>
    </row>
    <row r="39">
      <c r="A39" s="3"/>
      <c r="B39" s="37"/>
      <c r="C39" s="35"/>
      <c r="D39" s="30" t="s">
        <v>39</v>
      </c>
      <c r="E39" s="37"/>
      <c r="F39" s="35"/>
      <c r="G39" s="3"/>
      <c r="H39" s="316"/>
      <c r="I39" s="157"/>
      <c r="J39" s="160"/>
      <c r="K39" s="161"/>
      <c r="L39" s="157"/>
      <c r="M39" s="3"/>
      <c r="N39" s="3"/>
      <c r="O39" s="3"/>
      <c r="P39" s="3"/>
      <c r="Q39" s="3"/>
      <c r="R39" s="3"/>
      <c r="S39" s="3"/>
      <c r="T39" s="3"/>
      <c r="U39" s="3"/>
      <c r="V39" s="3"/>
      <c r="W39" s="156"/>
      <c r="X39" s="3"/>
      <c r="Y39" s="3"/>
      <c r="Z39" s="3"/>
    </row>
    <row r="40">
      <c r="A40" s="31" t="s">
        <v>116</v>
      </c>
      <c r="B40" s="36">
        <f>K36</f>
        <v>5213</v>
      </c>
      <c r="C40" s="35"/>
      <c r="D40" s="69"/>
      <c r="E40" s="162"/>
      <c r="F40" s="35"/>
      <c r="G40" s="205"/>
      <c r="H40" s="161"/>
      <c r="I40" s="157"/>
      <c r="J40" s="163"/>
      <c r="K40" s="161"/>
      <c r="L40" s="157"/>
      <c r="M40" s="3"/>
      <c r="N40" s="3"/>
      <c r="O40" s="3"/>
      <c r="P40" s="3"/>
      <c r="Q40" s="3"/>
      <c r="R40" s="3"/>
      <c r="S40" s="3"/>
      <c r="T40" s="3"/>
      <c r="U40" s="3"/>
      <c r="V40" s="3"/>
      <c r="W40" s="156"/>
      <c r="X40" s="3"/>
      <c r="Y40" s="3"/>
      <c r="Z40" s="3"/>
    </row>
    <row r="41">
      <c r="A41" s="31" t="s">
        <v>40</v>
      </c>
      <c r="B41" s="106">
        <f>B36</f>
        <v>5873974.86</v>
      </c>
      <c r="C41" s="35"/>
      <c r="D41" s="33" t="s">
        <v>41</v>
      </c>
      <c r="E41" s="34">
        <f>B42/B40</f>
        <v>443.7368118</v>
      </c>
      <c r="F41" s="205">
        <f>E41/E44</f>
        <v>0.393804886</v>
      </c>
      <c r="G41" s="205"/>
      <c r="H41" s="161"/>
      <c r="I41" s="157"/>
      <c r="J41" s="160"/>
      <c r="K41" s="161"/>
      <c r="L41" s="157"/>
      <c r="M41" s="3"/>
      <c r="N41" s="3"/>
      <c r="O41" s="3"/>
      <c r="P41" s="3"/>
      <c r="Q41" s="3"/>
      <c r="R41" s="3"/>
      <c r="S41" s="3"/>
      <c r="T41" s="3"/>
      <c r="U41" s="3"/>
      <c r="V41" s="3"/>
      <c r="W41" s="156"/>
      <c r="X41" s="3"/>
      <c r="Y41" s="3"/>
      <c r="Z41" s="3"/>
    </row>
    <row r="42">
      <c r="A42" s="31" t="s">
        <v>41</v>
      </c>
      <c r="B42" s="106">
        <f>J36</f>
        <v>2313200</v>
      </c>
      <c r="C42" s="35"/>
      <c r="D42" s="33" t="s">
        <v>42</v>
      </c>
      <c r="E42" s="34">
        <f>G36/B40</f>
        <v>674.6543257</v>
      </c>
      <c r="F42" s="61">
        <f>E42/E44</f>
        <v>0.5987381771</v>
      </c>
      <c r="G42" s="205"/>
      <c r="H42" s="161"/>
      <c r="I42" s="157"/>
      <c r="J42" s="160"/>
      <c r="K42" s="161"/>
      <c r="L42" s="157"/>
      <c r="M42" s="3"/>
      <c r="N42" s="3"/>
      <c r="O42" s="3"/>
      <c r="P42" s="3"/>
      <c r="Q42" s="3"/>
      <c r="R42" s="3"/>
      <c r="S42" s="3"/>
      <c r="T42" s="3"/>
      <c r="U42" s="3"/>
      <c r="V42" s="3"/>
      <c r="W42" s="156"/>
      <c r="X42" s="3"/>
      <c r="Y42" s="3"/>
      <c r="Z42" s="3"/>
    </row>
    <row r="43">
      <c r="A43" s="31" t="s">
        <v>43</v>
      </c>
      <c r="B43" s="106">
        <f>L36</f>
        <v>532146</v>
      </c>
      <c r="C43" s="35"/>
      <c r="D43" s="33" t="s">
        <v>43</v>
      </c>
      <c r="E43" s="34">
        <f>B43/B40</f>
        <v>102.0805678</v>
      </c>
      <c r="F43" s="205">
        <f>E43/E44</f>
        <v>0.09059385045</v>
      </c>
      <c r="G43" s="205"/>
      <c r="H43" s="157"/>
      <c r="I43" s="157"/>
      <c r="J43" s="160"/>
      <c r="K43" s="161"/>
      <c r="L43" s="157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1" t="s">
        <v>44</v>
      </c>
      <c r="B44" s="106">
        <f>G36</f>
        <v>3516973</v>
      </c>
      <c r="C44" s="35"/>
      <c r="D44" s="33" t="s">
        <v>45</v>
      </c>
      <c r="E44" s="34">
        <f>B41/B40</f>
        <v>1126.793566</v>
      </c>
      <c r="F44" s="3"/>
      <c r="G44" s="205"/>
      <c r="H44" s="157"/>
      <c r="I44" s="157"/>
      <c r="J44" s="157"/>
      <c r="K44" s="157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1" t="s">
        <v>46</v>
      </c>
      <c r="B45" s="106">
        <f>B41-(B42+B43+B44)</f>
        <v>-488344.14</v>
      </c>
      <c r="C45" s="37"/>
      <c r="D45" s="3"/>
      <c r="E45" s="3"/>
      <c r="F45" s="3"/>
      <c r="G45" s="3"/>
      <c r="H45" s="157"/>
      <c r="I45" s="157"/>
      <c r="J45" s="157"/>
      <c r="K45" s="157"/>
      <c r="L45" s="157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1" t="s">
        <v>47</v>
      </c>
      <c r="B46" s="317">
        <f>B45/B41</f>
        <v>-0.08313691353</v>
      </c>
      <c r="C46" s="3"/>
      <c r="D46" s="3"/>
      <c r="E46" s="3"/>
      <c r="F46" s="3"/>
      <c r="G46" s="3"/>
      <c r="H46" s="157"/>
      <c r="I46" s="157"/>
      <c r="J46" s="157"/>
      <c r="K46" s="157"/>
      <c r="L46" s="157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210"/>
      <c r="Y46" s="210"/>
      <c r="Z46" s="210"/>
    </row>
    <row r="47">
      <c r="A47" s="276"/>
      <c r="B47" s="277"/>
      <c r="C47" s="209"/>
      <c r="D47" s="209"/>
      <c r="E47" s="209"/>
      <c r="F47" s="209"/>
      <c r="G47" s="209"/>
      <c r="H47" s="209"/>
      <c r="I47" s="209"/>
      <c r="J47" s="209"/>
      <c r="K47" s="209"/>
      <c r="L47" s="209"/>
      <c r="M47" s="209"/>
      <c r="N47" s="209"/>
      <c r="O47" s="209"/>
      <c r="P47" s="210"/>
      <c r="Q47" s="210"/>
      <c r="R47" s="210"/>
      <c r="S47" s="210"/>
      <c r="T47" s="210"/>
      <c r="U47" s="210"/>
      <c r="V47" s="210"/>
      <c r="W47" s="210"/>
      <c r="X47" s="210"/>
      <c r="Y47" s="210"/>
      <c r="Z47" s="210"/>
    </row>
    <row r="48">
      <c r="A48" s="278"/>
      <c r="B48" s="279"/>
      <c r="C48" s="209"/>
      <c r="D48" s="209"/>
      <c r="E48" s="209"/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49">
      <c r="A49" s="1" t="s">
        <v>178</v>
      </c>
      <c r="B49" s="2" t="s">
        <v>48</v>
      </c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>
      <c r="A51" s="38" t="s">
        <v>49</v>
      </c>
      <c r="B51" s="24" t="s">
        <v>3</v>
      </c>
      <c r="C51" s="24" t="s">
        <v>4</v>
      </c>
      <c r="D51" s="24" t="s">
        <v>5</v>
      </c>
      <c r="E51" s="39" t="s">
        <v>6</v>
      </c>
      <c r="F51" s="24" t="s">
        <v>7</v>
      </c>
      <c r="G51" s="24" t="s">
        <v>9</v>
      </c>
      <c r="H51" s="24" t="s">
        <v>11</v>
      </c>
      <c r="I51" s="24" t="s">
        <v>12</v>
      </c>
      <c r="J51" s="24" t="s">
        <v>50</v>
      </c>
      <c r="K51" s="24" t="s">
        <v>51</v>
      </c>
      <c r="L51" s="39" t="s">
        <v>16</v>
      </c>
      <c r="M51" s="24" t="s">
        <v>52</v>
      </c>
      <c r="N51" s="40" t="s">
        <v>53</v>
      </c>
      <c r="O51" s="3"/>
    </row>
    <row r="52">
      <c r="A52" s="24" t="s">
        <v>21</v>
      </c>
      <c r="B52" s="245">
        <f>633408+23357+1849</f>
        <v>658614</v>
      </c>
      <c r="C52" s="213">
        <f t="shared" ref="C52:C68" si="27">K52+H52+M52</f>
        <v>381848.97</v>
      </c>
      <c r="D52" s="214">
        <f t="shared" ref="D52:D59" si="28">B52-C52</f>
        <v>276765.03</v>
      </c>
      <c r="E52" s="215">
        <f t="shared" ref="E52:E59" si="29">D52/B52*100</f>
        <v>42.02234237</v>
      </c>
      <c r="F52" s="216">
        <f t="shared" ref="F52:F68" si="30">D52/I52</f>
        <v>387.6260924</v>
      </c>
      <c r="G52" s="217">
        <f>759+18+1</f>
        <v>778</v>
      </c>
      <c r="H52" s="218">
        <f>220*I52</f>
        <v>157080</v>
      </c>
      <c r="I52" s="219">
        <f>695+18+1</f>
        <v>714</v>
      </c>
      <c r="J52" s="218">
        <f t="shared" ref="J52:J59" si="31">G52-I52</f>
        <v>64</v>
      </c>
      <c r="K52" s="246">
        <f>188763-153418+4208+185</f>
        <v>39738</v>
      </c>
      <c r="L52" s="50">
        <f>J52/I52*100</f>
        <v>8.963585434</v>
      </c>
      <c r="M52" s="107">
        <v>185030.97</v>
      </c>
      <c r="N52" s="52"/>
      <c r="O52" s="53" t="str">
        <f t="shared" ref="O52:O53" si="32">B52/#REF!</f>
        <v>#REF!</v>
      </c>
      <c r="P52" s="54" t="str">
        <f t="shared" ref="P52:P68" si="33">B52/#REF!*100</f>
        <v>#REF!</v>
      </c>
    </row>
    <row r="53">
      <c r="A53" s="24" t="s">
        <v>23</v>
      </c>
      <c r="B53" s="247">
        <f>471555+60829</f>
        <v>532384</v>
      </c>
      <c r="C53" s="213">
        <f t="shared" si="27"/>
        <v>298847.8</v>
      </c>
      <c r="D53" s="214">
        <f t="shared" si="28"/>
        <v>233536.2</v>
      </c>
      <c r="E53" s="215">
        <f t="shared" si="29"/>
        <v>43.86611919</v>
      </c>
      <c r="F53" s="216">
        <f t="shared" si="30"/>
        <v>470.8391129</v>
      </c>
      <c r="G53" s="217">
        <f>477+42</f>
        <v>519</v>
      </c>
      <c r="H53" s="218">
        <f>304*I53</f>
        <v>150784</v>
      </c>
      <c r="I53" s="219">
        <f>454+42</f>
        <v>496</v>
      </c>
      <c r="J53" s="218">
        <f t="shared" si="31"/>
        <v>23</v>
      </c>
      <c r="K53" s="246">
        <f>77222-23290-8881</f>
        <v>45051</v>
      </c>
      <c r="L53" s="50">
        <f t="shared" ref="L53:L68" si="34">J53/G53*100</f>
        <v>4.431599229</v>
      </c>
      <c r="M53" s="107">
        <v>103012.8</v>
      </c>
      <c r="N53" s="52"/>
      <c r="O53" s="53" t="str">
        <f t="shared" si="32"/>
        <v>#REF!</v>
      </c>
      <c r="P53" s="54" t="str">
        <f t="shared" si="33"/>
        <v>#REF!</v>
      </c>
    </row>
    <row r="54">
      <c r="A54" s="24" t="s">
        <v>25</v>
      </c>
      <c r="B54" s="245">
        <v>1499.0</v>
      </c>
      <c r="C54" s="213">
        <f t="shared" si="27"/>
        <v>2768</v>
      </c>
      <c r="D54" s="214">
        <f t="shared" si="28"/>
        <v>-1269</v>
      </c>
      <c r="E54" s="215">
        <f t="shared" si="29"/>
        <v>-84.65643763</v>
      </c>
      <c r="F54" s="216">
        <f t="shared" si="30"/>
        <v>-1269</v>
      </c>
      <c r="G54" s="217">
        <v>1.0</v>
      </c>
      <c r="H54" s="218">
        <f> 662*I54</f>
        <v>662</v>
      </c>
      <c r="I54" s="219">
        <v>1.0</v>
      </c>
      <c r="J54" s="218">
        <f t="shared" si="31"/>
        <v>0</v>
      </c>
      <c r="K54" s="246">
        <f>1859</f>
        <v>1859</v>
      </c>
      <c r="L54" s="50">
        <f t="shared" si="34"/>
        <v>0</v>
      </c>
      <c r="M54" s="283">
        <v>247.0</v>
      </c>
      <c r="N54" s="52"/>
      <c r="O54" s="53">
        <f>B54/M54</f>
        <v>6.068825911</v>
      </c>
      <c r="P54" s="54" t="str">
        <f t="shared" si="33"/>
        <v>#REF!</v>
      </c>
    </row>
    <row r="55">
      <c r="A55" s="24" t="s">
        <v>26</v>
      </c>
      <c r="B55" s="245">
        <f>183590+5216+849</f>
        <v>189655</v>
      </c>
      <c r="C55" s="213">
        <f t="shared" si="27"/>
        <v>140275.89</v>
      </c>
      <c r="D55" s="214">
        <f t="shared" si="28"/>
        <v>49379.11</v>
      </c>
      <c r="E55" s="215">
        <f t="shared" si="29"/>
        <v>26.03628167</v>
      </c>
      <c r="F55" s="216">
        <f t="shared" si="30"/>
        <v>109.2458186</v>
      </c>
      <c r="G55" s="217">
        <f>470+9</f>
        <v>479</v>
      </c>
      <c r="H55" s="218">
        <f> 184*I55</f>
        <v>83168</v>
      </c>
      <c r="I55" s="219">
        <f>444+8</f>
        <v>452</v>
      </c>
      <c r="J55" s="218">
        <f t="shared" si="31"/>
        <v>27</v>
      </c>
      <c r="K55" s="246">
        <f>(35812+2214)-(17798+1860)</f>
        <v>18368</v>
      </c>
      <c r="L55" s="50">
        <f t="shared" si="34"/>
        <v>5.636743215</v>
      </c>
      <c r="M55" s="318">
        <v>38739.89</v>
      </c>
      <c r="N55" s="52"/>
      <c r="O55" s="53" t="str">
        <f t="shared" ref="O55:O56" si="35">B55/#REF!</f>
        <v>#REF!</v>
      </c>
      <c r="P55" s="54" t="str">
        <f t="shared" si="33"/>
        <v>#REF!</v>
      </c>
    </row>
    <row r="56">
      <c r="A56" s="24" t="s">
        <v>29</v>
      </c>
      <c r="B56" s="245">
        <f>480572+31834</f>
        <v>512406</v>
      </c>
      <c r="C56" s="213">
        <f t="shared" si="27"/>
        <v>366738.7</v>
      </c>
      <c r="D56" s="214">
        <f t="shared" si="28"/>
        <v>145667.3</v>
      </c>
      <c r="E56" s="215">
        <f t="shared" si="29"/>
        <v>28.42810193</v>
      </c>
      <c r="F56" s="216">
        <f t="shared" si="30"/>
        <v>296.6747454</v>
      </c>
      <c r="G56" s="217">
        <f>508+22</f>
        <v>530</v>
      </c>
      <c r="H56" s="218">
        <f> 308*I56</f>
        <v>151228</v>
      </c>
      <c r="I56" s="219">
        <f>469+22</f>
        <v>491</v>
      </c>
      <c r="J56" s="218">
        <f t="shared" si="31"/>
        <v>39</v>
      </c>
      <c r="K56" s="246">
        <f>168870-98977</f>
        <v>69893</v>
      </c>
      <c r="L56" s="50">
        <f t="shared" si="34"/>
        <v>7.358490566</v>
      </c>
      <c r="M56" s="107">
        <v>145617.7</v>
      </c>
      <c r="N56" s="52"/>
      <c r="O56" s="53" t="str">
        <f t="shared" si="35"/>
        <v>#REF!</v>
      </c>
      <c r="P56" s="54" t="str">
        <f t="shared" si="33"/>
        <v>#REF!</v>
      </c>
    </row>
    <row r="57">
      <c r="A57" s="24" t="s">
        <v>31</v>
      </c>
      <c r="B57" s="245"/>
      <c r="C57" s="213">
        <f t="shared" si="27"/>
        <v>0</v>
      </c>
      <c r="D57" s="214">
        <f t="shared" si="28"/>
        <v>0</v>
      </c>
      <c r="E57" s="215" t="str">
        <f t="shared" si="29"/>
        <v>#DIV/0!</v>
      </c>
      <c r="F57" s="216" t="str">
        <f t="shared" si="30"/>
        <v>#DIV/0!</v>
      </c>
      <c r="G57" s="217"/>
      <c r="H57" s="218">
        <f>435*I57</f>
        <v>0</v>
      </c>
      <c r="I57" s="219"/>
      <c r="J57" s="218">
        <f t="shared" si="31"/>
        <v>0</v>
      </c>
      <c r="K57" s="246"/>
      <c r="L57" s="50" t="str">
        <f t="shared" si="34"/>
        <v>#DIV/0!</v>
      </c>
      <c r="M57" s="304"/>
      <c r="N57" s="52"/>
      <c r="O57" s="53" t="str">
        <f>B57/M57</f>
        <v>#DIV/0!</v>
      </c>
      <c r="P57" s="54" t="str">
        <f t="shared" si="33"/>
        <v>#REF!</v>
      </c>
    </row>
    <row r="58">
      <c r="A58" s="24" t="s">
        <v>33</v>
      </c>
      <c r="B58" s="245">
        <f>468545+20668</f>
        <v>489213</v>
      </c>
      <c r="C58" s="213">
        <f t="shared" si="27"/>
        <v>348300</v>
      </c>
      <c r="D58" s="214">
        <f t="shared" si="28"/>
        <v>140913</v>
      </c>
      <c r="E58" s="215">
        <f t="shared" si="29"/>
        <v>28.80401788</v>
      </c>
      <c r="F58" s="216">
        <f t="shared" si="30"/>
        <v>527.7640449</v>
      </c>
      <c r="G58" s="217">
        <f>295+9</f>
        <v>304</v>
      </c>
      <c r="H58" s="218">
        <f>778*I58</f>
        <v>207726</v>
      </c>
      <c r="I58" s="219">
        <f>258+9</f>
        <v>267</v>
      </c>
      <c r="J58" s="218">
        <f t="shared" si="31"/>
        <v>37</v>
      </c>
      <c r="K58" s="246">
        <f>(81686-18890)+(5139-2372)</f>
        <v>65563</v>
      </c>
      <c r="L58" s="50">
        <f t="shared" si="34"/>
        <v>12.17105263</v>
      </c>
      <c r="M58" s="318">
        <v>75011.0</v>
      </c>
      <c r="N58" s="52"/>
      <c r="O58" s="53" t="str">
        <f t="shared" ref="O58:O59" si="36">B58/#REF!</f>
        <v>#REF!</v>
      </c>
      <c r="P58" s="54" t="str">
        <f t="shared" si="33"/>
        <v>#REF!</v>
      </c>
      <c r="R58" s="319"/>
    </row>
    <row r="59">
      <c r="A59" s="24" t="s">
        <v>131</v>
      </c>
      <c r="B59" s="245">
        <f>17143+11694</f>
        <v>28837</v>
      </c>
      <c r="C59" s="213">
        <f t="shared" si="27"/>
        <v>75076</v>
      </c>
      <c r="D59" s="214">
        <f t="shared" si="28"/>
        <v>-46239</v>
      </c>
      <c r="E59" s="215">
        <f t="shared" si="29"/>
        <v>-160.3460832</v>
      </c>
      <c r="F59" s="216">
        <f t="shared" si="30"/>
        <v>-3082.6</v>
      </c>
      <c r="G59" s="217">
        <f>8+7</f>
        <v>15</v>
      </c>
      <c r="H59" s="218">
        <f>(900)*I59</f>
        <v>13500</v>
      </c>
      <c r="I59" s="219">
        <f>8+7</f>
        <v>15</v>
      </c>
      <c r="J59" s="218">
        <f t="shared" si="31"/>
        <v>0</v>
      </c>
      <c r="K59" s="246">
        <f>(9205-4164)+(9098-7316)</f>
        <v>6823</v>
      </c>
      <c r="L59" s="50">
        <f t="shared" si="34"/>
        <v>0</v>
      </c>
      <c r="M59" s="318">
        <v>54753.0</v>
      </c>
      <c r="N59" s="52"/>
      <c r="O59" s="53" t="str">
        <f t="shared" si="36"/>
        <v>#REF!</v>
      </c>
      <c r="P59" s="54" t="str">
        <f t="shared" si="33"/>
        <v>#REF!</v>
      </c>
      <c r="R59" s="319"/>
    </row>
    <row r="60">
      <c r="A60" s="24" t="s">
        <v>54</v>
      </c>
      <c r="B60" s="245"/>
      <c r="C60" s="213">
        <f t="shared" si="27"/>
        <v>0</v>
      </c>
      <c r="D60" s="214"/>
      <c r="E60" s="215"/>
      <c r="F60" s="216" t="str">
        <f t="shared" si="30"/>
        <v>#DIV/0!</v>
      </c>
      <c r="G60" s="217"/>
      <c r="H60" s="218">
        <f>200*I60</f>
        <v>0</v>
      </c>
      <c r="I60" s="219"/>
      <c r="J60" s="218"/>
      <c r="K60" s="246"/>
      <c r="L60" s="50" t="str">
        <f t="shared" si="34"/>
        <v>#DIV/0!</v>
      </c>
      <c r="M60" s="283"/>
      <c r="N60" s="52"/>
      <c r="O60" s="53" t="str">
        <f t="shared" ref="O60:O67" si="37">B60/M60</f>
        <v>#DIV/0!</v>
      </c>
      <c r="P60" s="54" t="str">
        <f t="shared" si="33"/>
        <v>#REF!</v>
      </c>
    </row>
    <row r="61">
      <c r="A61" s="24" t="s">
        <v>55</v>
      </c>
      <c r="B61" s="248"/>
      <c r="C61" s="213">
        <f t="shared" si="27"/>
        <v>0</v>
      </c>
      <c r="D61" s="214">
        <f t="shared" ref="D61:D68" si="38">B61-C61</f>
        <v>0</v>
      </c>
      <c r="E61" s="215" t="str">
        <f t="shared" ref="E61:E68" si="39">D61/B61*100</f>
        <v>#DIV/0!</v>
      </c>
      <c r="F61" s="216" t="str">
        <f t="shared" si="30"/>
        <v>#DIV/0!</v>
      </c>
      <c r="G61" s="249"/>
      <c r="H61" s="218">
        <f>(270+220)*I61</f>
        <v>0</v>
      </c>
      <c r="I61" s="250"/>
      <c r="J61" s="218">
        <f t="shared" ref="J61:J68" si="40">G61-I61</f>
        <v>0</v>
      </c>
      <c r="K61" s="251"/>
      <c r="L61" s="50" t="str">
        <f t="shared" si="34"/>
        <v>#DIV/0!</v>
      </c>
      <c r="M61" s="186"/>
      <c r="N61" s="56"/>
      <c r="O61" s="53" t="str">
        <f t="shared" si="37"/>
        <v>#DIV/0!</v>
      </c>
      <c r="P61" s="54" t="str">
        <f t="shared" si="33"/>
        <v>#REF!</v>
      </c>
    </row>
    <row r="62">
      <c r="A62" s="24" t="s">
        <v>56</v>
      </c>
      <c r="B62" s="245">
        <v>1999.0</v>
      </c>
      <c r="C62" s="213">
        <f t="shared" si="27"/>
        <v>873</v>
      </c>
      <c r="D62" s="214">
        <f t="shared" si="38"/>
        <v>1126</v>
      </c>
      <c r="E62" s="215">
        <f t="shared" si="39"/>
        <v>56.32816408</v>
      </c>
      <c r="F62" s="216">
        <f t="shared" si="30"/>
        <v>1126</v>
      </c>
      <c r="G62" s="217">
        <v>1.0</v>
      </c>
      <c r="H62" s="218">
        <f>(220+304)*I62</f>
        <v>524</v>
      </c>
      <c r="I62" s="219">
        <v>1.0</v>
      </c>
      <c r="J62" s="218">
        <f t="shared" si="40"/>
        <v>0</v>
      </c>
      <c r="K62" s="246">
        <f>349</f>
        <v>349</v>
      </c>
      <c r="L62" s="50">
        <f t="shared" si="34"/>
        <v>0</v>
      </c>
      <c r="M62" s="28"/>
      <c r="N62" s="52"/>
      <c r="O62" s="53" t="str">
        <f t="shared" si="37"/>
        <v>#DIV/0!</v>
      </c>
      <c r="P62" s="54" t="str">
        <f t="shared" si="33"/>
        <v>#REF!</v>
      </c>
    </row>
    <row r="63">
      <c r="A63" s="24" t="s">
        <v>57</v>
      </c>
      <c r="B63" s="245">
        <v>6158.0</v>
      </c>
      <c r="C63" s="213">
        <f t="shared" si="27"/>
        <v>3213</v>
      </c>
      <c r="D63" s="214">
        <f t="shared" si="38"/>
        <v>2945</v>
      </c>
      <c r="E63" s="215">
        <f t="shared" si="39"/>
        <v>47.82396882</v>
      </c>
      <c r="F63" s="216">
        <f t="shared" si="30"/>
        <v>981.6666667</v>
      </c>
      <c r="G63" s="217">
        <v>5.0</v>
      </c>
      <c r="H63" s="218">
        <f>(220+308)*I63</f>
        <v>1584</v>
      </c>
      <c r="I63" s="219">
        <v>3.0</v>
      </c>
      <c r="J63" s="218">
        <f t="shared" si="40"/>
        <v>2</v>
      </c>
      <c r="K63" s="246">
        <f>1629</f>
        <v>1629</v>
      </c>
      <c r="L63" s="50">
        <f t="shared" si="34"/>
        <v>40</v>
      </c>
      <c r="M63" s="28"/>
      <c r="N63" s="52"/>
      <c r="O63" s="53" t="str">
        <f t="shared" si="37"/>
        <v>#DIV/0!</v>
      </c>
      <c r="P63" s="54" t="str">
        <f t="shared" si="33"/>
        <v>#REF!</v>
      </c>
    </row>
    <row r="64">
      <c r="A64" s="24" t="s">
        <v>58</v>
      </c>
      <c r="B64" s="245">
        <v>6196.0</v>
      </c>
      <c r="C64" s="213">
        <f t="shared" si="27"/>
        <v>2692</v>
      </c>
      <c r="D64" s="214">
        <f t="shared" si="38"/>
        <v>3504</v>
      </c>
      <c r="E64" s="215">
        <f t="shared" si="39"/>
        <v>56.55261459</v>
      </c>
      <c r="F64" s="216">
        <f t="shared" si="30"/>
        <v>876</v>
      </c>
      <c r="G64" s="217">
        <v>4.0</v>
      </c>
      <c r="H64" s="218">
        <f>(304+184)*I64</f>
        <v>1952</v>
      </c>
      <c r="I64" s="219">
        <v>4.0</v>
      </c>
      <c r="J64" s="218">
        <f t="shared" si="40"/>
        <v>0</v>
      </c>
      <c r="K64" s="246">
        <v>697.0</v>
      </c>
      <c r="L64" s="50">
        <f t="shared" si="34"/>
        <v>0</v>
      </c>
      <c r="M64" s="282">
        <v>43.0</v>
      </c>
      <c r="N64" s="52"/>
      <c r="O64" s="53">
        <f t="shared" si="37"/>
        <v>144.0930233</v>
      </c>
      <c r="P64" s="54" t="str">
        <f t="shared" si="33"/>
        <v>#REF!</v>
      </c>
    </row>
    <row r="65">
      <c r="A65" s="24" t="s">
        <v>59</v>
      </c>
      <c r="B65" s="245">
        <v>6552.0</v>
      </c>
      <c r="C65" s="213">
        <f t="shared" si="27"/>
        <v>2803</v>
      </c>
      <c r="D65" s="214">
        <f t="shared" si="38"/>
        <v>3749</v>
      </c>
      <c r="E65" s="215">
        <f t="shared" si="39"/>
        <v>57.21916972</v>
      </c>
      <c r="F65" s="216">
        <f t="shared" si="30"/>
        <v>1249.666667</v>
      </c>
      <c r="G65" s="217">
        <v>3.0</v>
      </c>
      <c r="H65" s="218">
        <f>(304+308)*I65</f>
        <v>1836</v>
      </c>
      <c r="I65" s="219">
        <v>3.0</v>
      </c>
      <c r="J65" s="218">
        <f t="shared" si="40"/>
        <v>0</v>
      </c>
      <c r="K65" s="246">
        <v>841.0</v>
      </c>
      <c r="L65" s="50">
        <f t="shared" si="34"/>
        <v>0</v>
      </c>
      <c r="M65" s="283">
        <v>126.0</v>
      </c>
      <c r="N65" s="52"/>
      <c r="O65" s="53">
        <f t="shared" si="37"/>
        <v>52</v>
      </c>
      <c r="P65" s="54" t="str">
        <f t="shared" si="33"/>
        <v>#REF!</v>
      </c>
    </row>
    <row r="66">
      <c r="A66" s="24" t="s">
        <v>161</v>
      </c>
      <c r="B66" s="245"/>
      <c r="C66" s="213">
        <f t="shared" si="27"/>
        <v>0</v>
      </c>
      <c r="D66" s="214">
        <f t="shared" si="38"/>
        <v>0</v>
      </c>
      <c r="E66" s="215" t="str">
        <f t="shared" si="39"/>
        <v>#DIV/0!</v>
      </c>
      <c r="F66" s="216" t="str">
        <f t="shared" si="30"/>
        <v>#DIV/0!</v>
      </c>
      <c r="G66" s="217"/>
      <c r="H66" s="218">
        <f>(1900)*I66</f>
        <v>0</v>
      </c>
      <c r="I66" s="219"/>
      <c r="J66" s="218">
        <f t="shared" si="40"/>
        <v>0</v>
      </c>
      <c r="K66" s="246"/>
      <c r="L66" s="50" t="str">
        <f t="shared" si="34"/>
        <v>#DIV/0!</v>
      </c>
      <c r="M66" s="186"/>
      <c r="N66" s="52"/>
      <c r="O66" s="53" t="str">
        <f t="shared" si="37"/>
        <v>#DIV/0!</v>
      </c>
      <c r="P66" s="54" t="str">
        <f t="shared" si="33"/>
        <v>#REF!</v>
      </c>
    </row>
    <row r="67">
      <c r="A67" s="24" t="s">
        <v>149</v>
      </c>
      <c r="B67" s="245">
        <f>7196+39044+54138</f>
        <v>100378</v>
      </c>
      <c r="C67" s="213">
        <f t="shared" si="27"/>
        <v>69780.3</v>
      </c>
      <c r="D67" s="214">
        <f t="shared" si="38"/>
        <v>30597.7</v>
      </c>
      <c r="E67" s="215">
        <f t="shared" si="39"/>
        <v>30.48247624</v>
      </c>
      <c r="F67" s="216">
        <f t="shared" si="30"/>
        <v>297.0650485</v>
      </c>
      <c r="G67" s="217">
        <f>5+44+57</f>
        <v>106</v>
      </c>
      <c r="H67" s="218">
        <f t="shared" ref="H67:H68" si="41">(330)*I67</f>
        <v>33990</v>
      </c>
      <c r="I67" s="219">
        <f>5+41+57</f>
        <v>103</v>
      </c>
      <c r="J67" s="218">
        <f t="shared" si="40"/>
        <v>3</v>
      </c>
      <c r="K67" s="246">
        <f>1169+(13030-7991)+(11477-5905)</f>
        <v>11780</v>
      </c>
      <c r="L67" s="50">
        <f t="shared" si="34"/>
        <v>2.830188679</v>
      </c>
      <c r="M67" s="283">
        <f>17020.3+6990</f>
        <v>24010.3</v>
      </c>
      <c r="N67" s="52"/>
      <c r="O67" s="53">
        <f t="shared" si="37"/>
        <v>4.180622483</v>
      </c>
      <c r="P67" s="54" t="str">
        <f t="shared" si="33"/>
        <v>#REF!</v>
      </c>
    </row>
    <row r="68">
      <c r="A68" s="24" t="s">
        <v>157</v>
      </c>
      <c r="B68" s="245">
        <v>69619.0</v>
      </c>
      <c r="C68" s="213">
        <f t="shared" si="27"/>
        <v>90927</v>
      </c>
      <c r="D68" s="214">
        <f t="shared" si="38"/>
        <v>-21308</v>
      </c>
      <c r="E68" s="215">
        <f t="shared" si="39"/>
        <v>-30.60658728</v>
      </c>
      <c r="F68" s="216">
        <f t="shared" si="30"/>
        <v>-236.7555556</v>
      </c>
      <c r="G68" s="217">
        <v>106.0</v>
      </c>
      <c r="H68" s="218">
        <f t="shared" si="41"/>
        <v>29700</v>
      </c>
      <c r="I68" s="219">
        <v>90.0</v>
      </c>
      <c r="J68" s="218">
        <f t="shared" si="40"/>
        <v>16</v>
      </c>
      <c r="K68" s="246">
        <f>59789-55047</f>
        <v>4742</v>
      </c>
      <c r="L68" s="50">
        <f t="shared" si="34"/>
        <v>15.09433962</v>
      </c>
      <c r="M68" s="107">
        <v>56485.0</v>
      </c>
      <c r="N68" s="52"/>
      <c r="O68" s="53" t="str">
        <f>B68/#REF!</f>
        <v>#REF!</v>
      </c>
      <c r="P68" s="54" t="str">
        <f t="shared" si="33"/>
        <v>#REF!</v>
      </c>
    </row>
    <row r="69" ht="14.25" customHeight="1">
      <c r="A69" s="3" t="s">
        <v>38</v>
      </c>
      <c r="B69" s="68">
        <f t="shared" ref="B69:D69" si="42">SUM(B52:B68)</f>
        <v>2603510</v>
      </c>
      <c r="C69" s="68">
        <f t="shared" si="42"/>
        <v>1784143.66</v>
      </c>
      <c r="D69" s="53">
        <f t="shared" si="42"/>
        <v>819366.34</v>
      </c>
      <c r="E69" s="252"/>
      <c r="F69" s="252"/>
      <c r="G69" s="41">
        <f t="shared" ref="G69:I69" si="43">SUM(G52:G68)</f>
        <v>2851</v>
      </c>
      <c r="H69" s="41">
        <f t="shared" si="43"/>
        <v>833734</v>
      </c>
      <c r="I69" s="41">
        <f t="shared" si="43"/>
        <v>2640</v>
      </c>
      <c r="J69" s="3"/>
      <c r="K69" s="68">
        <f>SUM(K52:K68)</f>
        <v>267333</v>
      </c>
      <c r="L69" s="252"/>
      <c r="M69" s="68">
        <f>SUM(M52:M68)</f>
        <v>683076.66</v>
      </c>
      <c r="N69" s="3"/>
      <c r="O69" s="54"/>
    </row>
    <row r="72">
      <c r="A72" s="115" t="s">
        <v>40</v>
      </c>
      <c r="B72" s="116">
        <f>B69</f>
        <v>2603510</v>
      </c>
      <c r="C72" s="3"/>
      <c r="D72" s="3"/>
      <c r="E72" s="3"/>
      <c r="F72" s="3"/>
    </row>
    <row r="73">
      <c r="A73" s="117" t="s">
        <v>41</v>
      </c>
      <c r="B73" s="118">
        <f>H69</f>
        <v>833734</v>
      </c>
      <c r="C73" s="3"/>
      <c r="D73" s="30" t="s">
        <v>39</v>
      </c>
      <c r="E73" s="3"/>
      <c r="F73" s="3"/>
      <c r="G73" s="58"/>
    </row>
    <row r="74">
      <c r="A74" s="119" t="s">
        <v>143</v>
      </c>
      <c r="B74" s="120">
        <f>K69</f>
        <v>267333</v>
      </c>
      <c r="C74" s="3"/>
      <c r="D74" s="33" t="s">
        <v>41</v>
      </c>
      <c r="E74" s="34">
        <f>B73/I69</f>
        <v>315.8083333</v>
      </c>
      <c r="F74" s="59">
        <f>E74/E78</f>
        <v>0.3202346064</v>
      </c>
    </row>
    <row r="75">
      <c r="A75" s="119" t="s">
        <v>61</v>
      </c>
      <c r="B75" s="120">
        <v>0.0</v>
      </c>
      <c r="C75" s="3"/>
      <c r="D75" s="33"/>
      <c r="E75" s="34"/>
      <c r="F75" s="59"/>
    </row>
    <row r="76">
      <c r="A76" s="121" t="s">
        <v>44</v>
      </c>
      <c r="B76" s="122">
        <f>M69</f>
        <v>683076.66</v>
      </c>
      <c r="C76" s="3"/>
      <c r="D76" s="33" t="s">
        <v>42</v>
      </c>
      <c r="E76" s="34">
        <f>B76/I69</f>
        <v>258.7411591</v>
      </c>
      <c r="F76" s="59"/>
      <c r="I76" s="53"/>
    </row>
    <row r="77">
      <c r="A77" s="123" t="s">
        <v>62</v>
      </c>
      <c r="B77" s="124">
        <f>B72-SUM(B73:B76)</f>
        <v>819366.34</v>
      </c>
      <c r="C77" s="3"/>
      <c r="D77" s="33" t="s">
        <v>63</v>
      </c>
      <c r="E77" s="34">
        <f>B74/I69</f>
        <v>101.2625</v>
      </c>
      <c r="F77" s="61"/>
    </row>
    <row r="78">
      <c r="A78" s="125" t="s">
        <v>47</v>
      </c>
      <c r="B78" s="126">
        <f>B77/B72*100</f>
        <v>31.47160334</v>
      </c>
      <c r="C78" s="3"/>
      <c r="D78" s="33" t="s">
        <v>45</v>
      </c>
      <c r="E78" s="34">
        <f>B72/I69</f>
        <v>986.1780303</v>
      </c>
      <c r="F78" s="3"/>
    </row>
    <row r="85">
      <c r="A85" s="1" t="s">
        <v>185</v>
      </c>
      <c r="B85" s="194" t="s">
        <v>64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>
      <c r="A86" s="3"/>
      <c r="B86" s="37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>
      <c r="A87" s="38" t="s">
        <v>49</v>
      </c>
      <c r="B87" s="176" t="s">
        <v>3</v>
      </c>
      <c r="C87" s="24" t="s">
        <v>4</v>
      </c>
      <c r="D87" s="24" t="s">
        <v>5</v>
      </c>
      <c r="E87" s="39" t="s">
        <v>6</v>
      </c>
      <c r="F87" s="24" t="s">
        <v>7</v>
      </c>
      <c r="G87" s="24" t="s">
        <v>9</v>
      </c>
      <c r="H87" s="24" t="s">
        <v>11</v>
      </c>
      <c r="I87" s="24" t="s">
        <v>12</v>
      </c>
      <c r="J87" s="24" t="s">
        <v>50</v>
      </c>
      <c r="K87" s="24" t="s">
        <v>65</v>
      </c>
      <c r="L87" s="39" t="s">
        <v>16</v>
      </c>
      <c r="M87" s="24" t="s">
        <v>52</v>
      </c>
      <c r="N87" s="3"/>
    </row>
    <row r="88">
      <c r="A88" s="42" t="s">
        <v>21</v>
      </c>
      <c r="B88" s="320">
        <v>2181.0</v>
      </c>
      <c r="C88" s="44">
        <f t="shared" ref="C88:C96" si="44">K88+H88</f>
        <v>1216</v>
      </c>
      <c r="D88" s="45">
        <f t="shared" ref="D88:D101" si="45">B88-C88</f>
        <v>965</v>
      </c>
      <c r="E88" s="11">
        <f t="shared" ref="E88:E101" si="46">D88/B88*100</f>
        <v>44.24575883</v>
      </c>
      <c r="F88" s="46">
        <f t="shared" ref="F88:F101" si="47">D88/I88</f>
        <v>321.6666667</v>
      </c>
      <c r="G88" s="321">
        <v>9.0</v>
      </c>
      <c r="H88" s="14">
        <f>220*I88</f>
        <v>660</v>
      </c>
      <c r="I88" s="322">
        <v>3.0</v>
      </c>
      <c r="J88" s="14">
        <f t="shared" ref="J88:J101" si="48">G88-I88</f>
        <v>6</v>
      </c>
      <c r="K88" s="323">
        <v>556.0</v>
      </c>
      <c r="L88" s="50">
        <f t="shared" ref="L88:L101" si="49">J88/G88*100</f>
        <v>66.66666667</v>
      </c>
      <c r="M88" s="28"/>
      <c r="N88" s="3"/>
      <c r="P88" s="54"/>
    </row>
    <row r="89">
      <c r="A89" s="42" t="s">
        <v>23</v>
      </c>
      <c r="B89" s="324">
        <v>30816.0</v>
      </c>
      <c r="C89" s="44">
        <f t="shared" si="44"/>
        <v>16773</v>
      </c>
      <c r="D89" s="45">
        <f t="shared" si="45"/>
        <v>14043</v>
      </c>
      <c r="E89" s="11">
        <f t="shared" si="46"/>
        <v>45.57048287</v>
      </c>
      <c r="F89" s="46">
        <f t="shared" si="47"/>
        <v>390.0833333</v>
      </c>
      <c r="G89" s="321">
        <v>58.0</v>
      </c>
      <c r="H89" s="14">
        <f>304*I89</f>
        <v>10944</v>
      </c>
      <c r="I89" s="322">
        <v>36.0</v>
      </c>
      <c r="J89" s="14">
        <f t="shared" si="48"/>
        <v>22</v>
      </c>
      <c r="K89" s="323">
        <v>5829.0</v>
      </c>
      <c r="L89" s="50">
        <f t="shared" si="49"/>
        <v>37.93103448</v>
      </c>
      <c r="M89" s="28"/>
      <c r="N89" s="3"/>
      <c r="P89" s="54"/>
    </row>
    <row r="90">
      <c r="A90" s="42" t="s">
        <v>25</v>
      </c>
      <c r="B90" s="324">
        <v>7635.0</v>
      </c>
      <c r="C90" s="44">
        <f t="shared" si="44"/>
        <v>4237</v>
      </c>
      <c r="D90" s="45">
        <f t="shared" si="45"/>
        <v>3398</v>
      </c>
      <c r="E90" s="11">
        <f t="shared" si="46"/>
        <v>44.50556647</v>
      </c>
      <c r="F90" s="46">
        <f t="shared" si="47"/>
        <v>679.6</v>
      </c>
      <c r="G90" s="321">
        <v>6.0</v>
      </c>
      <c r="H90" s="14">
        <f> 662*I90</f>
        <v>3310</v>
      </c>
      <c r="I90" s="322">
        <v>5.0</v>
      </c>
      <c r="J90" s="14">
        <f t="shared" si="48"/>
        <v>1</v>
      </c>
      <c r="K90" s="323">
        <v>927.0</v>
      </c>
      <c r="L90" s="50">
        <f t="shared" si="49"/>
        <v>16.66666667</v>
      </c>
      <c r="M90" s="107"/>
      <c r="N90" s="3"/>
      <c r="P90" s="54"/>
    </row>
    <row r="91">
      <c r="A91" s="42" t="s">
        <v>26</v>
      </c>
      <c r="B91" s="324">
        <v>52596.0</v>
      </c>
      <c r="C91" s="44">
        <f t="shared" si="44"/>
        <v>34695</v>
      </c>
      <c r="D91" s="45">
        <f t="shared" si="45"/>
        <v>17901</v>
      </c>
      <c r="E91" s="11">
        <f t="shared" si="46"/>
        <v>34.0349076</v>
      </c>
      <c r="F91" s="46">
        <f t="shared" si="47"/>
        <v>114.0191083</v>
      </c>
      <c r="G91" s="321">
        <v>214.0</v>
      </c>
      <c r="H91" s="14">
        <f>184*I91</f>
        <v>28888</v>
      </c>
      <c r="I91" s="322">
        <v>157.0</v>
      </c>
      <c r="J91" s="14">
        <f t="shared" si="48"/>
        <v>57</v>
      </c>
      <c r="K91" s="323">
        <v>5807.0</v>
      </c>
      <c r="L91" s="50">
        <f t="shared" si="49"/>
        <v>26.63551402</v>
      </c>
      <c r="M91" s="28"/>
      <c r="N91" s="3"/>
      <c r="P91" s="54"/>
    </row>
    <row r="92">
      <c r="A92" s="42" t="s">
        <v>54</v>
      </c>
      <c r="B92" s="324">
        <v>3990.0</v>
      </c>
      <c r="C92" s="44">
        <f t="shared" si="44"/>
        <v>1581</v>
      </c>
      <c r="D92" s="45">
        <f t="shared" si="45"/>
        <v>2409</v>
      </c>
      <c r="E92" s="11">
        <f t="shared" si="46"/>
        <v>60.37593985</v>
      </c>
      <c r="F92" s="46">
        <f t="shared" si="47"/>
        <v>602.25</v>
      </c>
      <c r="G92" s="321">
        <v>5.0</v>
      </c>
      <c r="H92" s="14">
        <f>270*I92</f>
        <v>1080</v>
      </c>
      <c r="I92" s="322">
        <v>4.0</v>
      </c>
      <c r="J92" s="14">
        <f t="shared" si="48"/>
        <v>1</v>
      </c>
      <c r="K92" s="323">
        <v>501.0</v>
      </c>
      <c r="L92" s="50">
        <f t="shared" si="49"/>
        <v>20</v>
      </c>
      <c r="M92" s="28"/>
      <c r="N92" s="3"/>
      <c r="P92" s="54"/>
    </row>
    <row r="93">
      <c r="A93" s="42" t="s">
        <v>29</v>
      </c>
      <c r="B93" s="324">
        <v>10417.0</v>
      </c>
      <c r="C93" s="44">
        <f t="shared" si="44"/>
        <v>4878</v>
      </c>
      <c r="D93" s="45">
        <f t="shared" si="45"/>
        <v>5539</v>
      </c>
      <c r="E93" s="11">
        <f t="shared" si="46"/>
        <v>53.17269847</v>
      </c>
      <c r="F93" s="46">
        <f t="shared" si="47"/>
        <v>553.9</v>
      </c>
      <c r="G93" s="321">
        <v>18.0</v>
      </c>
      <c r="H93" s="14">
        <f>308*I93</f>
        <v>3080</v>
      </c>
      <c r="I93" s="322">
        <v>10.0</v>
      </c>
      <c r="J93" s="14">
        <f t="shared" si="48"/>
        <v>8</v>
      </c>
      <c r="K93" s="323">
        <v>1798.0</v>
      </c>
      <c r="L93" s="50">
        <f t="shared" si="49"/>
        <v>44.44444444</v>
      </c>
      <c r="M93" s="28"/>
      <c r="N93" s="3"/>
      <c r="P93" s="54"/>
    </row>
    <row r="94">
      <c r="A94" s="42" t="s">
        <v>31</v>
      </c>
      <c r="B94" s="324">
        <v>0.0</v>
      </c>
      <c r="C94" s="44">
        <f t="shared" si="44"/>
        <v>0</v>
      </c>
      <c r="D94" s="45">
        <f t="shared" si="45"/>
        <v>0</v>
      </c>
      <c r="E94" s="11" t="str">
        <f t="shared" si="46"/>
        <v>#DIV/0!</v>
      </c>
      <c r="F94" s="46" t="str">
        <f t="shared" si="47"/>
        <v>#DIV/0!</v>
      </c>
      <c r="G94" s="321">
        <v>0.0</v>
      </c>
      <c r="H94" s="14">
        <f>435*I94</f>
        <v>0</v>
      </c>
      <c r="I94" s="322">
        <v>0.0</v>
      </c>
      <c r="J94" s="14">
        <f t="shared" si="48"/>
        <v>0</v>
      </c>
      <c r="K94" s="323">
        <v>0.0</v>
      </c>
      <c r="L94" s="50" t="str">
        <f t="shared" si="49"/>
        <v>#DIV/0!</v>
      </c>
      <c r="M94" s="28"/>
      <c r="N94" s="3"/>
      <c r="P94" s="54"/>
    </row>
    <row r="95">
      <c r="A95" s="42" t="s">
        <v>66</v>
      </c>
      <c r="B95" s="324">
        <v>829.0</v>
      </c>
      <c r="C95" s="44">
        <f t="shared" si="44"/>
        <v>224</v>
      </c>
      <c r="D95" s="45">
        <f t="shared" si="45"/>
        <v>605</v>
      </c>
      <c r="E95" s="11">
        <f t="shared" si="46"/>
        <v>72.97949337</v>
      </c>
      <c r="F95" s="46">
        <f t="shared" si="47"/>
        <v>605</v>
      </c>
      <c r="G95" s="321">
        <v>2.0</v>
      </c>
      <c r="H95" s="14">
        <f>200*I95</f>
        <v>200</v>
      </c>
      <c r="I95" s="322">
        <v>1.0</v>
      </c>
      <c r="J95" s="14">
        <f t="shared" si="48"/>
        <v>1</v>
      </c>
      <c r="K95" s="323">
        <v>24.0</v>
      </c>
      <c r="L95" s="50">
        <f t="shared" si="49"/>
        <v>50</v>
      </c>
      <c r="M95" s="28"/>
      <c r="N95" s="3"/>
      <c r="P95" s="54"/>
    </row>
    <row r="96">
      <c r="A96" s="42" t="s">
        <v>33</v>
      </c>
      <c r="B96" s="324">
        <v>15093.0</v>
      </c>
      <c r="C96" s="44">
        <f t="shared" si="44"/>
        <v>8761</v>
      </c>
      <c r="D96" s="45">
        <f t="shared" si="45"/>
        <v>6332</v>
      </c>
      <c r="E96" s="11">
        <f t="shared" si="46"/>
        <v>41.95322335</v>
      </c>
      <c r="F96" s="46">
        <f t="shared" si="47"/>
        <v>703.5555556</v>
      </c>
      <c r="G96" s="321">
        <v>9.0</v>
      </c>
      <c r="H96" s="14">
        <f>778*I96</f>
        <v>7002</v>
      </c>
      <c r="I96" s="322">
        <v>9.0</v>
      </c>
      <c r="J96" s="14">
        <f t="shared" si="48"/>
        <v>0</v>
      </c>
      <c r="K96" s="323">
        <v>1759.0</v>
      </c>
      <c r="L96" s="50">
        <f t="shared" si="49"/>
        <v>0</v>
      </c>
      <c r="M96" s="28"/>
      <c r="N96" s="3"/>
      <c r="P96" s="54"/>
      <c r="X96" s="3"/>
    </row>
    <row r="97">
      <c r="A97" s="24" t="s">
        <v>131</v>
      </c>
      <c r="B97" s="325">
        <v>8255.0</v>
      </c>
      <c r="C97" s="213">
        <f>K97+H97+M97</f>
        <v>3131</v>
      </c>
      <c r="D97" s="214">
        <f t="shared" si="45"/>
        <v>5124</v>
      </c>
      <c r="E97" s="215">
        <f t="shared" si="46"/>
        <v>62.07147184</v>
      </c>
      <c r="F97" s="216">
        <f t="shared" si="47"/>
        <v>1024.8</v>
      </c>
      <c r="G97" s="223">
        <v>7.0</v>
      </c>
      <c r="H97" s="218">
        <f>(330)*I97</f>
        <v>1650</v>
      </c>
      <c r="I97" s="224">
        <v>5.0</v>
      </c>
      <c r="J97" s="218">
        <f t="shared" si="48"/>
        <v>2</v>
      </c>
      <c r="K97" s="225">
        <v>1481.0</v>
      </c>
      <c r="L97" s="50">
        <f t="shared" si="49"/>
        <v>28.57142857</v>
      </c>
      <c r="M97" s="186"/>
      <c r="N97" s="206"/>
      <c r="O97" s="3"/>
    </row>
    <row r="98">
      <c r="A98" s="42" t="s">
        <v>179</v>
      </c>
      <c r="B98" s="324">
        <v>0.0</v>
      </c>
      <c r="C98" s="44">
        <f t="shared" ref="C98:C101" si="50">K98+H98</f>
        <v>0</v>
      </c>
      <c r="D98" s="45">
        <f t="shared" si="45"/>
        <v>0</v>
      </c>
      <c r="E98" s="11" t="str">
        <f t="shared" si="46"/>
        <v>#DIV/0!</v>
      </c>
      <c r="F98" s="46" t="str">
        <f t="shared" si="47"/>
        <v>#DIV/0!</v>
      </c>
      <c r="G98" s="321">
        <v>0.0</v>
      </c>
      <c r="H98" s="14">
        <f>(220+308)*I98</f>
        <v>0</v>
      </c>
      <c r="I98" s="322">
        <v>0.0</v>
      </c>
      <c r="J98" s="14">
        <f t="shared" si="48"/>
        <v>0</v>
      </c>
      <c r="K98" s="323">
        <v>0.0</v>
      </c>
      <c r="L98" s="50" t="str">
        <f t="shared" si="49"/>
        <v>#DIV/0!</v>
      </c>
      <c r="M98" s="28"/>
      <c r="N98" s="3"/>
      <c r="P98" s="54"/>
      <c r="X98" s="3"/>
    </row>
    <row r="99">
      <c r="A99" s="42" t="s">
        <v>55</v>
      </c>
      <c r="B99" s="324">
        <v>13473.0</v>
      </c>
      <c r="C99" s="44">
        <f t="shared" si="50"/>
        <v>7016</v>
      </c>
      <c r="D99" s="45">
        <f t="shared" si="45"/>
        <v>6457</v>
      </c>
      <c r="E99" s="11">
        <f t="shared" si="46"/>
        <v>47.92548059</v>
      </c>
      <c r="F99" s="46">
        <f t="shared" si="47"/>
        <v>538.0833333</v>
      </c>
      <c r="G99" s="321">
        <v>18.0</v>
      </c>
      <c r="H99" s="14">
        <f>(220+184)*I99</f>
        <v>4848</v>
      </c>
      <c r="I99" s="322">
        <v>12.0</v>
      </c>
      <c r="J99" s="14">
        <f t="shared" si="48"/>
        <v>6</v>
      </c>
      <c r="K99" s="323">
        <v>2168.0</v>
      </c>
      <c r="L99" s="50">
        <f t="shared" si="49"/>
        <v>33.33333333</v>
      </c>
      <c r="M99" s="28"/>
      <c r="N99" s="3"/>
      <c r="P99" s="54"/>
      <c r="X99" s="3"/>
    </row>
    <row r="100">
      <c r="A100" s="42" t="s">
        <v>68</v>
      </c>
      <c r="B100" s="324">
        <v>1726.0</v>
      </c>
      <c r="C100" s="44">
        <f t="shared" si="50"/>
        <v>1329</v>
      </c>
      <c r="D100" s="45">
        <f t="shared" si="45"/>
        <v>397</v>
      </c>
      <c r="E100" s="11">
        <f t="shared" si="46"/>
        <v>23.00115875</v>
      </c>
      <c r="F100" s="46">
        <f t="shared" si="47"/>
        <v>397</v>
      </c>
      <c r="G100" s="321">
        <v>4.0</v>
      </c>
      <c r="H100" s="14">
        <f>(304+308)*I100</f>
        <v>612</v>
      </c>
      <c r="I100" s="322">
        <v>1.0</v>
      </c>
      <c r="J100" s="14">
        <f t="shared" si="48"/>
        <v>3</v>
      </c>
      <c r="K100" s="323">
        <v>717.0</v>
      </c>
      <c r="L100" s="50">
        <f t="shared" si="49"/>
        <v>75</v>
      </c>
      <c r="M100" s="28"/>
      <c r="N100" s="3"/>
      <c r="P100" s="54"/>
      <c r="U100" s="3"/>
      <c r="V100" s="3"/>
      <c r="W100" s="3"/>
      <c r="X100" s="3"/>
    </row>
    <row r="101">
      <c r="A101" s="42" t="s">
        <v>56</v>
      </c>
      <c r="B101" s="324">
        <v>16340.0</v>
      </c>
      <c r="C101" s="44">
        <f t="shared" si="50"/>
        <v>7917</v>
      </c>
      <c r="D101" s="45">
        <f t="shared" si="45"/>
        <v>8423</v>
      </c>
      <c r="E101" s="11">
        <f t="shared" si="46"/>
        <v>51.54834761</v>
      </c>
      <c r="F101" s="46">
        <f t="shared" si="47"/>
        <v>842.3</v>
      </c>
      <c r="G101" s="321">
        <v>15.0</v>
      </c>
      <c r="H101" s="14">
        <f>(220+304)*I101</f>
        <v>5240</v>
      </c>
      <c r="I101" s="322">
        <v>10.0</v>
      </c>
      <c r="J101" s="14">
        <f t="shared" si="48"/>
        <v>5</v>
      </c>
      <c r="K101" s="323">
        <v>2677.0</v>
      </c>
      <c r="L101" s="50">
        <f t="shared" si="49"/>
        <v>33.33333333</v>
      </c>
      <c r="M101" s="28"/>
      <c r="N101" s="3"/>
      <c r="P101" s="54"/>
      <c r="U101" s="3"/>
      <c r="V101" s="3"/>
      <c r="W101" s="3"/>
      <c r="X101" s="3"/>
    </row>
    <row r="102">
      <c r="A102" s="3"/>
      <c r="B102" s="57">
        <f>SUM(B88:B101)+5000</f>
        <v>168351</v>
      </c>
      <c r="C102" s="41">
        <f t="shared" ref="C102:D102" si="51">SUM(C88:C101)</f>
        <v>91758</v>
      </c>
      <c r="D102" s="53">
        <f t="shared" si="51"/>
        <v>71593</v>
      </c>
      <c r="E102" s="3"/>
      <c r="F102" s="3"/>
      <c r="G102" s="41">
        <f t="shared" ref="G102:K102" si="52">SUM(G88:G101)</f>
        <v>365</v>
      </c>
      <c r="H102" s="41">
        <f t="shared" si="52"/>
        <v>67514</v>
      </c>
      <c r="I102" s="41">
        <f t="shared" si="52"/>
        <v>253</v>
      </c>
      <c r="J102" s="41">
        <f t="shared" si="52"/>
        <v>112</v>
      </c>
      <c r="K102" s="41">
        <f t="shared" si="52"/>
        <v>24244</v>
      </c>
      <c r="L102" s="3"/>
      <c r="M102" s="258">
        <v>13900.0</v>
      </c>
      <c r="N102" s="3"/>
      <c r="P102" s="54"/>
      <c r="U102" s="3"/>
      <c r="V102" s="3"/>
      <c r="W102" s="3"/>
      <c r="X102" s="3"/>
    </row>
    <row r="103">
      <c r="P103" s="54"/>
      <c r="U103" s="3"/>
      <c r="V103" s="3"/>
      <c r="W103" s="3"/>
      <c r="X103" s="3"/>
    </row>
    <row r="104">
      <c r="P104" s="54"/>
      <c r="U104" s="3"/>
      <c r="V104" s="3"/>
      <c r="W104" s="3"/>
      <c r="X104" s="3"/>
    </row>
    <row r="105">
      <c r="A105" s="31" t="s">
        <v>40</v>
      </c>
      <c r="B105" s="36">
        <f>B102</f>
        <v>168351</v>
      </c>
      <c r="C105" s="3"/>
      <c r="D105" s="3"/>
      <c r="E105" s="3"/>
      <c r="U105" s="3"/>
      <c r="V105" s="3"/>
      <c r="W105" s="3"/>
    </row>
    <row r="106">
      <c r="A106" s="31" t="s">
        <v>41</v>
      </c>
      <c r="B106" s="36">
        <f>H102</f>
        <v>67514</v>
      </c>
      <c r="C106" s="3"/>
      <c r="D106" s="30"/>
      <c r="E106" s="3"/>
      <c r="L106" s="123" t="s">
        <v>40</v>
      </c>
      <c r="M106" s="285">
        <v>0.0</v>
      </c>
      <c r="U106" s="3"/>
      <c r="V106" s="3"/>
      <c r="W106" s="3"/>
    </row>
    <row r="107">
      <c r="A107" s="31" t="s">
        <v>69</v>
      </c>
      <c r="B107" s="36">
        <f>K102</f>
        <v>24244</v>
      </c>
      <c r="C107" s="3"/>
      <c r="D107" s="33" t="s">
        <v>41</v>
      </c>
      <c r="E107" s="34">
        <f>H102/I102</f>
        <v>266.8537549</v>
      </c>
      <c r="F107" s="168">
        <f>E107/E110</f>
        <v>0.4010311789</v>
      </c>
      <c r="L107" s="286" t="s">
        <v>172</v>
      </c>
      <c r="M107" s="287">
        <v>0.0</v>
      </c>
      <c r="U107" s="3"/>
      <c r="V107" s="3"/>
      <c r="W107" s="3"/>
    </row>
    <row r="108">
      <c r="A108" s="31" t="s">
        <v>44</v>
      </c>
      <c r="B108" s="36">
        <f>M102</f>
        <v>13900</v>
      </c>
      <c r="C108" s="3"/>
      <c r="D108" s="33" t="s">
        <v>42</v>
      </c>
      <c r="E108" s="34">
        <f>B105/M102</f>
        <v>12.11158273</v>
      </c>
      <c r="L108" s="288" t="s">
        <v>45</v>
      </c>
      <c r="M108" s="289" t="str">
        <f>M106/M107</f>
        <v>#DIV/0!</v>
      </c>
    </row>
    <row r="109">
      <c r="A109" s="31" t="s">
        <v>62</v>
      </c>
      <c r="B109" s="36">
        <f>B105-(sum(B106:B108))</f>
        <v>62693</v>
      </c>
      <c r="C109" s="3"/>
      <c r="D109" s="33" t="s">
        <v>63</v>
      </c>
      <c r="E109" s="34">
        <f>B107/E107</f>
        <v>90.85126048</v>
      </c>
      <c r="L109" s="290" t="s">
        <v>173</v>
      </c>
      <c r="M109" s="290">
        <v>0.0</v>
      </c>
    </row>
    <row r="110">
      <c r="A110" s="31" t="s">
        <v>47</v>
      </c>
      <c r="B110" s="62">
        <f>B109/B105*100</f>
        <v>37.23945804</v>
      </c>
      <c r="C110" s="3"/>
      <c r="D110" s="33" t="s">
        <v>45</v>
      </c>
      <c r="E110" s="34">
        <f>B105/I102</f>
        <v>665.4189723</v>
      </c>
      <c r="L110" s="292" t="s">
        <v>174</v>
      </c>
      <c r="M110" s="292">
        <v>0.0</v>
      </c>
    </row>
    <row r="115">
      <c r="A115" s="1" t="s">
        <v>185</v>
      </c>
      <c r="B115" s="2" t="s">
        <v>70</v>
      </c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S115" s="3"/>
      <c r="T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S116" s="3"/>
      <c r="T116" s="3"/>
    </row>
    <row r="117">
      <c r="A117" s="38" t="s">
        <v>49</v>
      </c>
      <c r="B117" s="24" t="s">
        <v>3</v>
      </c>
      <c r="C117" s="24" t="s">
        <v>4</v>
      </c>
      <c r="D117" s="24" t="s">
        <v>5</v>
      </c>
      <c r="E117" s="39" t="s">
        <v>6</v>
      </c>
      <c r="F117" s="24" t="s">
        <v>7</v>
      </c>
      <c r="G117" s="24" t="s">
        <v>71</v>
      </c>
      <c r="H117" s="24" t="s">
        <v>9</v>
      </c>
      <c r="I117" s="24" t="s">
        <v>72</v>
      </c>
      <c r="J117" s="24" t="s">
        <v>73</v>
      </c>
      <c r="K117" s="28" t="s">
        <v>43</v>
      </c>
      <c r="L117" s="3"/>
      <c r="M117" s="3"/>
      <c r="N117" s="3"/>
      <c r="S117" s="3"/>
      <c r="T117" s="3"/>
    </row>
    <row r="118">
      <c r="A118" s="42" t="s">
        <v>21</v>
      </c>
      <c r="B118" s="305">
        <f>689*H118</f>
        <v>82680</v>
      </c>
      <c r="C118" s="63">
        <f t="shared" ref="C118:C121" si="53">J118+G118+I118+K118</f>
        <v>26400</v>
      </c>
      <c r="D118" s="45">
        <f t="shared" ref="D118:D121" si="54">B118-C118</f>
        <v>56280</v>
      </c>
      <c r="E118" s="11">
        <f t="shared" ref="E118:E121" si="55">D118/B118*100</f>
        <v>68.06966618</v>
      </c>
      <c r="F118" s="46">
        <f t="shared" ref="F118:F121" si="56">D118/H118</f>
        <v>469</v>
      </c>
      <c r="G118" s="14">
        <f>200*H118</f>
        <v>24000</v>
      </c>
      <c r="H118" s="48">
        <v>120.0</v>
      </c>
      <c r="I118" s="14">
        <v>0.0</v>
      </c>
      <c r="J118" s="64">
        <v>0.0</v>
      </c>
      <c r="K118" s="65">
        <f t="shared" ref="K118:K121" si="57">20*H118</f>
        <v>2400</v>
      </c>
      <c r="L118" s="53"/>
      <c r="M118" s="41"/>
      <c r="N118" s="3"/>
      <c r="S118" s="3"/>
      <c r="T118" s="3"/>
    </row>
    <row r="119">
      <c r="A119" s="42" t="s">
        <v>26</v>
      </c>
      <c r="B119" s="43">
        <f>359*H119</f>
        <v>34823</v>
      </c>
      <c r="C119" s="63">
        <f t="shared" si="53"/>
        <v>19788</v>
      </c>
      <c r="D119" s="45">
        <f t="shared" si="54"/>
        <v>15035</v>
      </c>
      <c r="E119" s="11">
        <f t="shared" si="55"/>
        <v>43.17548747</v>
      </c>
      <c r="F119" s="46">
        <f t="shared" si="56"/>
        <v>155</v>
      </c>
      <c r="G119" s="14">
        <f>184*97</f>
        <v>17848</v>
      </c>
      <c r="H119" s="48">
        <v>97.0</v>
      </c>
      <c r="I119" s="14">
        <v>0.0</v>
      </c>
      <c r="J119" s="64">
        <v>0.0</v>
      </c>
      <c r="K119" s="65">
        <f t="shared" si="57"/>
        <v>1940</v>
      </c>
      <c r="L119" s="53"/>
      <c r="M119" s="3"/>
      <c r="N119" s="3"/>
      <c r="S119" s="3"/>
      <c r="T119" s="3"/>
    </row>
    <row r="120">
      <c r="A120" s="42" t="s">
        <v>23</v>
      </c>
      <c r="B120" s="43">
        <f>781*H120</f>
        <v>40612</v>
      </c>
      <c r="C120" s="44">
        <f t="shared" si="53"/>
        <v>16848</v>
      </c>
      <c r="D120" s="45">
        <f t="shared" si="54"/>
        <v>23764</v>
      </c>
      <c r="E120" s="11">
        <f t="shared" si="55"/>
        <v>58.51472471</v>
      </c>
      <c r="F120" s="46">
        <f t="shared" si="56"/>
        <v>457</v>
      </c>
      <c r="G120" s="14">
        <f>304*H120</f>
        <v>15808</v>
      </c>
      <c r="H120" s="48">
        <v>52.0</v>
      </c>
      <c r="I120" s="14">
        <v>0.0</v>
      </c>
      <c r="J120" s="66">
        <f t="shared" ref="J120:J121" si="58">L120%*M120</f>
        <v>0</v>
      </c>
      <c r="K120" s="65">
        <f t="shared" si="57"/>
        <v>1040</v>
      </c>
      <c r="L120" s="3"/>
      <c r="M120" s="3"/>
      <c r="N120" s="3"/>
      <c r="S120" s="3"/>
      <c r="T120" s="3"/>
    </row>
    <row r="121">
      <c r="A121" s="42" t="s">
        <v>29</v>
      </c>
      <c r="B121" s="43">
        <f>843*H121</f>
        <v>61539</v>
      </c>
      <c r="C121" s="44">
        <f t="shared" si="53"/>
        <v>23944</v>
      </c>
      <c r="D121" s="45">
        <f t="shared" si="54"/>
        <v>37595</v>
      </c>
      <c r="E121" s="11">
        <f t="shared" si="55"/>
        <v>61.09134045</v>
      </c>
      <c r="F121" s="46">
        <f t="shared" si="56"/>
        <v>515</v>
      </c>
      <c r="G121" s="14">
        <f>308*H121</f>
        <v>22484</v>
      </c>
      <c r="H121" s="48">
        <v>73.0</v>
      </c>
      <c r="I121" s="14">
        <v>0.0</v>
      </c>
      <c r="J121" s="66">
        <f t="shared" si="58"/>
        <v>0</v>
      </c>
      <c r="K121" s="65">
        <f t="shared" si="57"/>
        <v>1460</v>
      </c>
      <c r="L121" s="3"/>
      <c r="M121" s="3"/>
      <c r="N121" s="3"/>
      <c r="S121" s="3"/>
      <c r="T121" s="3"/>
    </row>
    <row r="122">
      <c r="A122" s="3"/>
      <c r="B122" s="41">
        <f t="shared" ref="B122:H122" si="59">SUM(B118:B121)</f>
        <v>219654</v>
      </c>
      <c r="C122" s="67">
        <f t="shared" si="59"/>
        <v>86980</v>
      </c>
      <c r="D122" s="53">
        <f t="shared" si="59"/>
        <v>132674</v>
      </c>
      <c r="E122" s="68">
        <f t="shared" si="59"/>
        <v>230.8512188</v>
      </c>
      <c r="F122" s="68">
        <f t="shared" si="59"/>
        <v>1596</v>
      </c>
      <c r="G122" s="41">
        <f t="shared" si="59"/>
        <v>80140</v>
      </c>
      <c r="H122" s="41">
        <f t="shared" si="59"/>
        <v>342</v>
      </c>
      <c r="I122" s="41"/>
      <c r="J122" s="62">
        <v>27906.0</v>
      </c>
      <c r="K122" s="41">
        <f>SUM(K118:K121)</f>
        <v>6840</v>
      </c>
      <c r="L122" s="3"/>
      <c r="M122" s="3"/>
      <c r="N122" s="3"/>
      <c r="P122" s="3"/>
      <c r="Q122" s="3"/>
      <c r="R122" s="3"/>
      <c r="S122" s="3"/>
      <c r="T122" s="3"/>
      <c r="Y122" s="3"/>
      <c r="Z122" s="3"/>
    </row>
    <row r="123">
      <c r="B123" s="113"/>
    </row>
    <row r="125">
      <c r="A125" s="31" t="s">
        <v>40</v>
      </c>
      <c r="B125" s="36">
        <f>B122</f>
        <v>219654</v>
      </c>
      <c r="C125" s="3"/>
      <c r="D125" s="101" t="s">
        <v>39</v>
      </c>
      <c r="E125" s="28"/>
    </row>
    <row r="126">
      <c r="A126" s="31" t="s">
        <v>41</v>
      </c>
      <c r="B126" s="36">
        <f>G122</f>
        <v>80140</v>
      </c>
      <c r="C126" s="3"/>
      <c r="D126" s="33" t="s">
        <v>41</v>
      </c>
      <c r="E126" s="34">
        <f>B126/H122</f>
        <v>234.3274854</v>
      </c>
      <c r="F126" s="326">
        <f>E126/E129</f>
        <v>0.3648465314</v>
      </c>
    </row>
    <row r="127">
      <c r="A127" s="31" t="s">
        <v>74</v>
      </c>
      <c r="B127" s="36">
        <f>K122</f>
        <v>6840</v>
      </c>
      <c r="C127" s="3"/>
      <c r="D127" s="33" t="s">
        <v>42</v>
      </c>
      <c r="E127" s="34">
        <f>B128/H122</f>
        <v>81.59649123</v>
      </c>
    </row>
    <row r="128">
      <c r="A128" s="31" t="s">
        <v>75</v>
      </c>
      <c r="B128" s="36">
        <f>J122</f>
        <v>27906</v>
      </c>
      <c r="C128" s="3"/>
      <c r="D128" s="69" t="s">
        <v>43</v>
      </c>
      <c r="E128" s="34">
        <f>K122/H122</f>
        <v>20</v>
      </c>
    </row>
    <row r="129">
      <c r="A129" s="31" t="s">
        <v>62</v>
      </c>
      <c r="B129" s="36">
        <f>B125-SUM(B126:B128)</f>
        <v>104768</v>
      </c>
      <c r="C129" s="3"/>
      <c r="D129" s="33" t="s">
        <v>45</v>
      </c>
      <c r="E129" s="34">
        <f>B125/H122</f>
        <v>642.2631579</v>
      </c>
    </row>
    <row r="130">
      <c r="A130" s="31" t="s">
        <v>47</v>
      </c>
      <c r="B130" s="36">
        <f>B129/B125*100</f>
        <v>47.69683229</v>
      </c>
      <c r="C130" s="3"/>
      <c r="D130" s="3"/>
      <c r="E130" s="3"/>
    </row>
    <row r="131">
      <c r="B131" s="58"/>
    </row>
    <row r="134">
      <c r="X134" s="3"/>
    </row>
    <row r="135">
      <c r="X135" s="3"/>
    </row>
    <row r="136">
      <c r="A136" s="1" t="s">
        <v>185</v>
      </c>
      <c r="B136" s="2" t="s">
        <v>76</v>
      </c>
      <c r="C136" s="3"/>
      <c r="D136" s="3"/>
      <c r="E136" s="3"/>
      <c r="F136" s="3"/>
      <c r="G136" s="3"/>
      <c r="H136" s="3"/>
      <c r="I136" s="3"/>
      <c r="J136" s="3"/>
      <c r="K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U137" s="3"/>
      <c r="V137" s="3"/>
      <c r="W137" s="3"/>
    </row>
    <row r="138">
      <c r="A138" s="38" t="s">
        <v>49</v>
      </c>
      <c r="B138" s="24" t="s">
        <v>3</v>
      </c>
      <c r="C138" s="24" t="s">
        <v>4</v>
      </c>
      <c r="D138" s="24" t="s">
        <v>5</v>
      </c>
      <c r="E138" s="39" t="s">
        <v>6</v>
      </c>
      <c r="F138" s="24" t="s">
        <v>7</v>
      </c>
      <c r="G138" s="24" t="s">
        <v>71</v>
      </c>
      <c r="H138" s="24" t="s">
        <v>9</v>
      </c>
      <c r="I138" s="24" t="s">
        <v>77</v>
      </c>
      <c r="J138" s="24" t="s">
        <v>73</v>
      </c>
      <c r="K138" s="28" t="s">
        <v>43</v>
      </c>
      <c r="U138" s="3"/>
      <c r="V138" s="3"/>
      <c r="W138" s="3"/>
    </row>
    <row r="139">
      <c r="A139" s="42" t="s">
        <v>21</v>
      </c>
      <c r="B139" s="43">
        <f>727*H139</f>
        <v>15267</v>
      </c>
      <c r="C139" s="44">
        <f t="shared" ref="C139:C141" si="60">J139+G139+I139+K139</f>
        <v>5040</v>
      </c>
      <c r="D139" s="45">
        <f t="shared" ref="D139:D142" si="61">B139-C139</f>
        <v>10227</v>
      </c>
      <c r="E139" s="11">
        <f t="shared" ref="E139:E141" si="62">D139/B139*100</f>
        <v>66.98762036</v>
      </c>
      <c r="F139" s="46">
        <f t="shared" ref="F139:F141" si="63">D139/H139</f>
        <v>487</v>
      </c>
      <c r="G139" s="14">
        <f>220*H139</f>
        <v>4620</v>
      </c>
      <c r="H139" s="48">
        <v>21.0</v>
      </c>
      <c r="I139" s="14">
        <v>0.0</v>
      </c>
      <c r="J139" s="66">
        <v>0.0</v>
      </c>
      <c r="K139" s="65">
        <f t="shared" ref="K139:K141" si="64">20*H139</f>
        <v>420</v>
      </c>
    </row>
    <row r="140">
      <c r="A140" s="42" t="s">
        <v>26</v>
      </c>
      <c r="B140" s="43">
        <f>385*H140</f>
        <v>24640</v>
      </c>
      <c r="C140" s="44">
        <f t="shared" si="60"/>
        <v>13056</v>
      </c>
      <c r="D140" s="45">
        <f t="shared" si="61"/>
        <v>11584</v>
      </c>
      <c r="E140" s="11">
        <f t="shared" si="62"/>
        <v>47.01298701</v>
      </c>
      <c r="F140" s="46">
        <f t="shared" si="63"/>
        <v>181</v>
      </c>
      <c r="G140" s="14">
        <f>184*H140</f>
        <v>11776</v>
      </c>
      <c r="H140" s="48">
        <v>64.0</v>
      </c>
      <c r="I140" s="14">
        <v>0.0</v>
      </c>
      <c r="J140" s="66">
        <v>0.0</v>
      </c>
      <c r="K140" s="65">
        <f t="shared" si="64"/>
        <v>1280</v>
      </c>
    </row>
    <row r="141">
      <c r="A141" s="42" t="s">
        <v>23</v>
      </c>
      <c r="B141" s="43">
        <f>801*H141</f>
        <v>11214</v>
      </c>
      <c r="C141" s="44">
        <f t="shared" si="60"/>
        <v>4606</v>
      </c>
      <c r="D141" s="45">
        <f t="shared" si="61"/>
        <v>6608</v>
      </c>
      <c r="E141" s="11">
        <f t="shared" si="62"/>
        <v>58.92634207</v>
      </c>
      <c r="F141" s="46">
        <f t="shared" si="63"/>
        <v>472</v>
      </c>
      <c r="G141" s="14">
        <f>309*H141</f>
        <v>4326</v>
      </c>
      <c r="H141" s="48">
        <v>14.0</v>
      </c>
      <c r="I141" s="14">
        <v>0.0</v>
      </c>
      <c r="J141" s="66">
        <v>0.0</v>
      </c>
      <c r="K141" s="65">
        <f t="shared" si="64"/>
        <v>280</v>
      </c>
    </row>
    <row r="142">
      <c r="A142" s="3"/>
      <c r="B142" s="41">
        <f t="shared" ref="B142:C142" si="65">SUM(B139:B141)</f>
        <v>51121</v>
      </c>
      <c r="C142" s="41">
        <f t="shared" si="65"/>
        <v>22702</v>
      </c>
      <c r="D142" s="41">
        <f t="shared" si="61"/>
        <v>28419</v>
      </c>
      <c r="E142" s="3"/>
      <c r="F142" s="3">
        <v>6.0</v>
      </c>
      <c r="G142" s="41">
        <f t="shared" ref="G142:H142" si="66">SUM(G139:G141)</f>
        <v>20722</v>
      </c>
      <c r="H142" s="41">
        <f t="shared" si="66"/>
        <v>99</v>
      </c>
      <c r="I142" s="3"/>
      <c r="J142" s="3">
        <v>0.0</v>
      </c>
      <c r="K142" s="41">
        <f>SUM(K139:K141)</f>
        <v>1980</v>
      </c>
    </row>
    <row r="144">
      <c r="A144" s="31" t="s">
        <v>40</v>
      </c>
      <c r="B144" s="32">
        <f>B142</f>
        <v>51121</v>
      </c>
      <c r="C144" s="3"/>
      <c r="D144" s="30" t="s">
        <v>39</v>
      </c>
      <c r="E144" s="3"/>
    </row>
    <row r="145">
      <c r="A145" s="31" t="s">
        <v>41</v>
      </c>
      <c r="B145" s="32">
        <f>G142</f>
        <v>20722</v>
      </c>
      <c r="C145" s="3"/>
      <c r="D145" s="33" t="s">
        <v>41</v>
      </c>
      <c r="E145" s="34">
        <f>B145/H142</f>
        <v>209.3131313</v>
      </c>
      <c r="F145" s="326">
        <f>E145/E148</f>
        <v>0.405352008</v>
      </c>
    </row>
    <row r="146">
      <c r="A146" s="31" t="s">
        <v>74</v>
      </c>
      <c r="B146" s="32">
        <f>K142</f>
        <v>1980</v>
      </c>
      <c r="C146" s="3"/>
      <c r="D146" s="33" t="s">
        <v>42</v>
      </c>
      <c r="E146" s="34">
        <f>B147/H142</f>
        <v>0</v>
      </c>
    </row>
    <row r="147">
      <c r="A147" s="31" t="s">
        <v>75</v>
      </c>
      <c r="B147" s="32">
        <f>I142+J142</f>
        <v>0</v>
      </c>
      <c r="C147" s="3"/>
      <c r="D147" s="69" t="s">
        <v>43</v>
      </c>
      <c r="E147" s="34">
        <f>B146/H142</f>
        <v>20</v>
      </c>
    </row>
    <row r="148">
      <c r="A148" s="31" t="s">
        <v>62</v>
      </c>
      <c r="B148" s="32">
        <f>B144-SUM(B145:B147)</f>
        <v>28419</v>
      </c>
      <c r="C148" s="3"/>
      <c r="D148" s="33" t="s">
        <v>45</v>
      </c>
      <c r="E148" s="34">
        <f>B144/H142</f>
        <v>516.3737374</v>
      </c>
    </row>
    <row r="149">
      <c r="A149" s="31" t="s">
        <v>47</v>
      </c>
      <c r="B149" s="62">
        <f>B148/B144*100</f>
        <v>55.59163553</v>
      </c>
      <c r="C149" s="3"/>
      <c r="D149" s="3"/>
      <c r="E149" s="3"/>
    </row>
    <row r="152">
      <c r="A152" s="1" t="s">
        <v>185</v>
      </c>
      <c r="B152" s="2" t="s">
        <v>78</v>
      </c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S152" s="3"/>
      <c r="T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S153" s="3"/>
      <c r="T153" s="3"/>
    </row>
    <row r="154">
      <c r="A154" s="38" t="s">
        <v>49</v>
      </c>
      <c r="B154" s="24" t="s">
        <v>3</v>
      </c>
      <c r="C154" s="24" t="s">
        <v>4</v>
      </c>
      <c r="D154" s="24" t="s">
        <v>5</v>
      </c>
      <c r="E154" s="39" t="s">
        <v>6</v>
      </c>
      <c r="F154" s="24" t="s">
        <v>7</v>
      </c>
      <c r="G154" s="24" t="s">
        <v>11</v>
      </c>
      <c r="H154" s="24" t="s">
        <v>12</v>
      </c>
      <c r="I154" s="3"/>
      <c r="J154" s="3"/>
      <c r="K154" s="3"/>
      <c r="L154" s="3"/>
    </row>
    <row r="155">
      <c r="A155" s="42" t="s">
        <v>21</v>
      </c>
      <c r="B155" s="43">
        <f>83777+2035</f>
        <v>85812</v>
      </c>
      <c r="C155" s="44">
        <f t="shared" ref="C155:C170" si="67">G155</f>
        <v>31900</v>
      </c>
      <c r="D155" s="45">
        <f t="shared" ref="D155:D171" si="68">B155-C155</f>
        <v>53912</v>
      </c>
      <c r="E155" s="11">
        <f t="shared" ref="E155:E170" si="69">D155/B155*100</f>
        <v>62.82571202</v>
      </c>
      <c r="F155" s="46">
        <f t="shared" ref="F155:F170" si="70">D155/H155</f>
        <v>371.8068966</v>
      </c>
      <c r="G155" s="14">
        <f>220*H155</f>
        <v>31900</v>
      </c>
      <c r="H155" s="48">
        <f>143+2</f>
        <v>145</v>
      </c>
      <c r="I155" s="3"/>
      <c r="J155" s="3"/>
      <c r="K155" s="3"/>
      <c r="L155" s="3"/>
    </row>
    <row r="156">
      <c r="A156" s="42" t="s">
        <v>23</v>
      </c>
      <c r="B156" s="43">
        <v>32924.0</v>
      </c>
      <c r="C156" s="44">
        <f t="shared" si="67"/>
        <v>15808</v>
      </c>
      <c r="D156" s="45">
        <f t="shared" si="68"/>
        <v>17116</v>
      </c>
      <c r="E156" s="11">
        <f t="shared" si="69"/>
        <v>51.9863929</v>
      </c>
      <c r="F156" s="46">
        <f t="shared" si="70"/>
        <v>329.1538462</v>
      </c>
      <c r="G156" s="14">
        <f>304*H156</f>
        <v>15808</v>
      </c>
      <c r="H156" s="48">
        <v>52.0</v>
      </c>
      <c r="I156" s="3"/>
      <c r="J156" s="3"/>
      <c r="K156" s="3"/>
      <c r="L156" s="3"/>
    </row>
    <row r="157">
      <c r="A157" s="42" t="s">
        <v>25</v>
      </c>
      <c r="B157" s="43">
        <f>14417+3413</f>
        <v>17830</v>
      </c>
      <c r="C157" s="44">
        <f t="shared" si="67"/>
        <v>13240</v>
      </c>
      <c r="D157" s="45">
        <f t="shared" si="68"/>
        <v>4590</v>
      </c>
      <c r="E157" s="11">
        <f t="shared" si="69"/>
        <v>25.74312956</v>
      </c>
      <c r="F157" s="46">
        <f t="shared" si="70"/>
        <v>229.5</v>
      </c>
      <c r="G157" s="14">
        <f> 662*H157</f>
        <v>13240</v>
      </c>
      <c r="H157" s="48">
        <f>15+5</f>
        <v>20</v>
      </c>
      <c r="I157" s="3"/>
      <c r="J157" s="3"/>
      <c r="K157" s="3"/>
      <c r="L157" s="3"/>
    </row>
    <row r="158">
      <c r="A158" s="42" t="s">
        <v>26</v>
      </c>
      <c r="B158" s="43">
        <f>18159+536</f>
        <v>18695</v>
      </c>
      <c r="C158" s="44">
        <f t="shared" si="67"/>
        <v>12328</v>
      </c>
      <c r="D158" s="45">
        <f t="shared" si="68"/>
        <v>6367</v>
      </c>
      <c r="E158" s="11">
        <f t="shared" si="69"/>
        <v>34.05723455</v>
      </c>
      <c r="F158" s="46">
        <f t="shared" si="70"/>
        <v>95.02985075</v>
      </c>
      <c r="G158" s="14">
        <f t="shared" ref="G158:G159" si="71">184*H158</f>
        <v>12328</v>
      </c>
      <c r="H158" s="48">
        <f>66+1</f>
        <v>67</v>
      </c>
      <c r="I158" s="3"/>
      <c r="J158" s="3"/>
      <c r="K158" s="3"/>
      <c r="L158" s="3"/>
    </row>
    <row r="159">
      <c r="A159" s="42" t="s">
        <v>28</v>
      </c>
      <c r="B159" s="43"/>
      <c r="C159" s="44">
        <f t="shared" si="67"/>
        <v>0</v>
      </c>
      <c r="D159" s="45">
        <f t="shared" si="68"/>
        <v>0</v>
      </c>
      <c r="E159" s="11" t="str">
        <f t="shared" si="69"/>
        <v>#DIV/0!</v>
      </c>
      <c r="F159" s="46" t="str">
        <f t="shared" si="70"/>
        <v>#DIV/0!</v>
      </c>
      <c r="G159" s="14">
        <f t="shared" si="71"/>
        <v>0</v>
      </c>
      <c r="H159" s="48"/>
      <c r="I159" s="3"/>
      <c r="J159" s="3"/>
      <c r="K159" s="3"/>
      <c r="L159" s="3"/>
    </row>
    <row r="160">
      <c r="A160" s="42" t="s">
        <v>29</v>
      </c>
      <c r="B160" s="43">
        <v>26650.0</v>
      </c>
      <c r="C160" s="44">
        <f t="shared" si="67"/>
        <v>13440</v>
      </c>
      <c r="D160" s="45">
        <f t="shared" si="68"/>
        <v>13210</v>
      </c>
      <c r="E160" s="11">
        <f t="shared" si="69"/>
        <v>49.5684803</v>
      </c>
      <c r="F160" s="46">
        <f t="shared" si="70"/>
        <v>314.5238095</v>
      </c>
      <c r="G160" s="14">
        <f>320*H160</f>
        <v>13440</v>
      </c>
      <c r="H160" s="48">
        <v>42.0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A161" s="42" t="s">
        <v>31</v>
      </c>
      <c r="B161" s="43"/>
      <c r="C161" s="44">
        <f t="shared" si="67"/>
        <v>0</v>
      </c>
      <c r="D161" s="45">
        <f t="shared" si="68"/>
        <v>0</v>
      </c>
      <c r="E161" s="11" t="str">
        <f t="shared" si="69"/>
        <v>#DIV/0!</v>
      </c>
      <c r="F161" s="46" t="str">
        <f t="shared" si="70"/>
        <v>#DIV/0!</v>
      </c>
      <c r="G161" s="14">
        <f t="shared" ref="G161:G162" si="72">184*H161</f>
        <v>0</v>
      </c>
      <c r="H161" s="48"/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A162" s="42" t="s">
        <v>32</v>
      </c>
      <c r="B162" s="43"/>
      <c r="C162" s="44">
        <f t="shared" si="67"/>
        <v>0</v>
      </c>
      <c r="D162" s="45">
        <f t="shared" si="68"/>
        <v>0</v>
      </c>
      <c r="E162" s="11" t="str">
        <f t="shared" si="69"/>
        <v>#DIV/0!</v>
      </c>
      <c r="F162" s="46" t="str">
        <f t="shared" si="70"/>
        <v>#DIV/0!</v>
      </c>
      <c r="G162" s="14">
        <f t="shared" si="72"/>
        <v>0</v>
      </c>
      <c r="H162" s="48"/>
      <c r="I162" s="3"/>
      <c r="J162" s="3"/>
      <c r="K162" s="3"/>
      <c r="L162" s="3"/>
    </row>
    <row r="163">
      <c r="A163" s="42" t="s">
        <v>33</v>
      </c>
      <c r="B163" s="43">
        <v>101365.0</v>
      </c>
      <c r="C163" s="44">
        <f t="shared" si="67"/>
        <v>77800</v>
      </c>
      <c r="D163" s="45">
        <f t="shared" si="68"/>
        <v>23565</v>
      </c>
      <c r="E163" s="11">
        <f t="shared" si="69"/>
        <v>23.24766931</v>
      </c>
      <c r="F163" s="46">
        <f t="shared" si="70"/>
        <v>235.65</v>
      </c>
      <c r="G163" s="14">
        <f>778*H163</f>
        <v>77800</v>
      </c>
      <c r="H163" s="48">
        <v>100.0</v>
      </c>
      <c r="I163" s="3"/>
      <c r="J163" s="3"/>
      <c r="K163" s="3"/>
      <c r="L163" s="3"/>
    </row>
    <row r="164" ht="14.25" customHeight="1">
      <c r="A164" s="211" t="s">
        <v>131</v>
      </c>
      <c r="B164" s="43">
        <v>2081.0</v>
      </c>
      <c r="C164" s="44">
        <f t="shared" si="67"/>
        <v>1800</v>
      </c>
      <c r="D164" s="45">
        <f t="shared" si="68"/>
        <v>281</v>
      </c>
      <c r="E164" s="11">
        <f t="shared" si="69"/>
        <v>13.5031235</v>
      </c>
      <c r="F164" s="46">
        <f t="shared" si="70"/>
        <v>140.5</v>
      </c>
      <c r="G164" s="14">
        <f>900*H164</f>
        <v>1800</v>
      </c>
      <c r="H164" s="48">
        <v>2.0</v>
      </c>
    </row>
    <row r="165">
      <c r="A165" s="42" t="s">
        <v>161</v>
      </c>
      <c r="B165" s="43">
        <v>4086.0</v>
      </c>
      <c r="C165" s="44">
        <f t="shared" si="67"/>
        <v>3356</v>
      </c>
      <c r="D165" s="45">
        <f t="shared" si="68"/>
        <v>730</v>
      </c>
      <c r="E165" s="11">
        <f t="shared" si="69"/>
        <v>17.8658835</v>
      </c>
      <c r="F165" s="46">
        <f t="shared" si="70"/>
        <v>365</v>
      </c>
      <c r="G165" s="14">
        <f>(778+900)*H165</f>
        <v>3356</v>
      </c>
      <c r="H165" s="48">
        <v>2.0</v>
      </c>
      <c r="I165" s="3"/>
      <c r="J165" s="3"/>
      <c r="K165" s="3"/>
      <c r="L165" s="3"/>
      <c r="N165" s="3"/>
    </row>
    <row r="166">
      <c r="A166" s="42" t="s">
        <v>55</v>
      </c>
      <c r="B166" s="43">
        <v>1651.0</v>
      </c>
      <c r="C166" s="44">
        <f t="shared" si="67"/>
        <v>808</v>
      </c>
      <c r="D166" s="45">
        <f t="shared" si="68"/>
        <v>843</v>
      </c>
      <c r="E166" s="11">
        <f t="shared" si="69"/>
        <v>51.05996366</v>
      </c>
      <c r="F166" s="46">
        <f t="shared" si="70"/>
        <v>421.5</v>
      </c>
      <c r="G166" s="14">
        <f>(184+220)*H166</f>
        <v>808</v>
      </c>
      <c r="H166" s="48">
        <v>2.0</v>
      </c>
      <c r="I166" s="3"/>
      <c r="J166" s="3"/>
      <c r="K166" s="3"/>
      <c r="L166" s="3"/>
    </row>
    <row r="167">
      <c r="A167" s="42" t="s">
        <v>56</v>
      </c>
      <c r="B167" s="43">
        <f>14564+42398</f>
        <v>56962</v>
      </c>
      <c r="C167" s="44">
        <f t="shared" si="67"/>
        <v>30916</v>
      </c>
      <c r="D167" s="45">
        <f t="shared" si="68"/>
        <v>26046</v>
      </c>
      <c r="E167" s="11">
        <f t="shared" si="69"/>
        <v>45.72522032</v>
      </c>
      <c r="F167" s="46">
        <f t="shared" si="70"/>
        <v>441.4576271</v>
      </c>
      <c r="G167" s="14">
        <f>(220+304)*H167</f>
        <v>30916</v>
      </c>
      <c r="H167" s="48">
        <f>15+44</f>
        <v>59</v>
      </c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A168" s="42" t="s">
        <v>57</v>
      </c>
      <c r="B168" s="43">
        <v>11150.0</v>
      </c>
      <c r="C168" s="44">
        <f t="shared" si="67"/>
        <v>5022</v>
      </c>
      <c r="D168" s="45">
        <f t="shared" si="68"/>
        <v>6128</v>
      </c>
      <c r="E168" s="11">
        <f t="shared" si="69"/>
        <v>54.95964126</v>
      </c>
      <c r="F168" s="46">
        <f t="shared" si="70"/>
        <v>680.8888889</v>
      </c>
      <c r="G168" s="14">
        <f>(250+308)*H168</f>
        <v>5022</v>
      </c>
      <c r="H168" s="48">
        <v>9.0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A169" s="42" t="s">
        <v>58</v>
      </c>
      <c r="B169" s="43">
        <v>17922.0</v>
      </c>
      <c r="C169" s="44">
        <f t="shared" si="67"/>
        <v>10248</v>
      </c>
      <c r="D169" s="45">
        <f t="shared" si="68"/>
        <v>7674</v>
      </c>
      <c r="E169" s="11">
        <f t="shared" si="69"/>
        <v>42.81888182</v>
      </c>
      <c r="F169" s="46">
        <f t="shared" si="70"/>
        <v>365.4285714</v>
      </c>
      <c r="G169" s="14">
        <f>(304+184)*H169</f>
        <v>10248</v>
      </c>
      <c r="H169" s="48">
        <v>21.0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A170" s="42" t="s">
        <v>59</v>
      </c>
      <c r="B170" s="43">
        <v>17344.0</v>
      </c>
      <c r="C170" s="44">
        <f t="shared" si="67"/>
        <v>8568</v>
      </c>
      <c r="D170" s="45">
        <f t="shared" si="68"/>
        <v>8776</v>
      </c>
      <c r="E170" s="11">
        <f t="shared" si="69"/>
        <v>50.599631</v>
      </c>
      <c r="F170" s="46">
        <f t="shared" si="70"/>
        <v>626.8571429</v>
      </c>
      <c r="G170" s="14">
        <f>(304+308)*H170</f>
        <v>8568</v>
      </c>
      <c r="H170" s="48">
        <v>14.0</v>
      </c>
      <c r="I170" s="3"/>
      <c r="J170" s="157"/>
      <c r="K170" s="157"/>
      <c r="L170" s="157"/>
      <c r="M170" s="3"/>
      <c r="N170" s="3"/>
      <c r="O170" s="3"/>
      <c r="P170" s="3"/>
      <c r="Q170" s="3"/>
      <c r="R170" s="3"/>
    </row>
    <row r="171">
      <c r="A171" s="3" t="s">
        <v>38</v>
      </c>
      <c r="B171" s="57">
        <f t="shared" ref="B171:C171" si="73">SUM(B155:B170)</f>
        <v>394472</v>
      </c>
      <c r="C171" s="41">
        <f t="shared" si="73"/>
        <v>225234</v>
      </c>
      <c r="D171" s="57">
        <f t="shared" si="68"/>
        <v>169238</v>
      </c>
      <c r="E171" s="3"/>
      <c r="F171" s="3"/>
      <c r="G171" s="41">
        <f t="shared" ref="G171:H171" si="74">SUM(G155:G170)</f>
        <v>225234</v>
      </c>
      <c r="H171" s="41">
        <f t="shared" si="74"/>
        <v>535</v>
      </c>
      <c r="I171" s="3"/>
      <c r="J171" s="157"/>
      <c r="K171" s="157"/>
      <c r="L171" s="157"/>
      <c r="M171" s="3"/>
      <c r="N171" s="3"/>
      <c r="O171" s="3"/>
      <c r="P171" s="3"/>
      <c r="Q171" s="3"/>
      <c r="R171" s="3"/>
    </row>
    <row r="172">
      <c r="J172" s="70"/>
      <c r="K172" s="70"/>
      <c r="L172" s="70"/>
    </row>
    <row r="173">
      <c r="A173" s="31" t="s">
        <v>40</v>
      </c>
      <c r="B173" s="36">
        <f>B171</f>
        <v>394472</v>
      </c>
      <c r="C173" s="3"/>
      <c r="D173" s="30"/>
      <c r="E173" s="3"/>
      <c r="J173" s="70"/>
      <c r="K173" s="70"/>
      <c r="L173" s="70"/>
    </row>
    <row r="174">
      <c r="A174" s="31" t="s">
        <v>41</v>
      </c>
      <c r="B174" s="32">
        <f>G171</f>
        <v>225234</v>
      </c>
      <c r="C174" s="3"/>
      <c r="D174" s="33" t="s">
        <v>41</v>
      </c>
      <c r="E174" s="34">
        <f>B174/H171</f>
        <v>420.9981308</v>
      </c>
      <c r="F174" s="113">
        <f>E174/E177*100</f>
        <v>57.09758868</v>
      </c>
      <c r="J174" s="70"/>
      <c r="K174" s="259"/>
      <c r="L174" s="306"/>
    </row>
    <row r="175">
      <c r="A175" s="31" t="s">
        <v>74</v>
      </c>
      <c r="B175" s="32">
        <v>0.0</v>
      </c>
      <c r="C175" s="3"/>
      <c r="D175" s="33" t="s">
        <v>42</v>
      </c>
      <c r="E175" s="34">
        <f>B176</f>
        <v>0</v>
      </c>
      <c r="J175" s="70"/>
      <c r="K175" s="301"/>
      <c r="L175" s="301"/>
    </row>
    <row r="176">
      <c r="A176" s="31" t="s">
        <v>75</v>
      </c>
      <c r="B176" s="32">
        <f>I170+J170</f>
        <v>0</v>
      </c>
      <c r="C176" s="3"/>
      <c r="D176" s="69" t="s">
        <v>43</v>
      </c>
      <c r="E176" s="34">
        <f>B175/H171</f>
        <v>0</v>
      </c>
      <c r="J176" s="70"/>
      <c r="K176" s="301"/>
      <c r="L176" s="301"/>
    </row>
    <row r="177">
      <c r="A177" s="31" t="s">
        <v>62</v>
      </c>
      <c r="B177" s="36">
        <f>B173-SUM(B174:B176)</f>
        <v>169238</v>
      </c>
      <c r="C177" s="3"/>
      <c r="D177" s="33" t="s">
        <v>45</v>
      </c>
      <c r="E177" s="34">
        <f>B173/H171</f>
        <v>737.3308411</v>
      </c>
    </row>
    <row r="178">
      <c r="A178" s="31" t="s">
        <v>47</v>
      </c>
      <c r="B178" s="62">
        <f>B177/B173*100</f>
        <v>42.90241132</v>
      </c>
      <c r="C178" s="3"/>
      <c r="D178" s="3"/>
      <c r="E178" s="3"/>
    </row>
    <row r="179">
      <c r="A179" s="259"/>
      <c r="B179" s="260"/>
      <c r="C179" s="157"/>
      <c r="D179" s="157"/>
      <c r="E179" s="157"/>
      <c r="F179" s="70"/>
      <c r="G179" s="70"/>
    </row>
    <row r="180">
      <c r="A180" s="259"/>
      <c r="B180" s="260"/>
      <c r="C180" s="157"/>
      <c r="D180" s="157"/>
      <c r="E180" s="157"/>
      <c r="F180" s="70"/>
      <c r="G180" s="70"/>
    </row>
    <row r="181">
      <c r="A181" s="1" t="s">
        <v>185</v>
      </c>
      <c r="B181" s="2" t="s">
        <v>162</v>
      </c>
      <c r="C181" s="157"/>
      <c r="D181" s="157"/>
      <c r="E181" s="157"/>
      <c r="F181" s="70"/>
      <c r="G181" s="70"/>
    </row>
    <row r="182">
      <c r="A182" s="38" t="s">
        <v>49</v>
      </c>
      <c r="B182" s="24" t="s">
        <v>3</v>
      </c>
      <c r="C182" s="24" t="s">
        <v>4</v>
      </c>
      <c r="D182" s="24" t="s">
        <v>5</v>
      </c>
      <c r="E182" s="39" t="s">
        <v>6</v>
      </c>
      <c r="F182" s="24" t="s">
        <v>7</v>
      </c>
      <c r="G182" s="24" t="s">
        <v>11</v>
      </c>
      <c r="H182" s="24" t="s">
        <v>12</v>
      </c>
    </row>
    <row r="183">
      <c r="A183" s="24" t="s">
        <v>21</v>
      </c>
      <c r="B183" s="212"/>
      <c r="C183" s="221">
        <f t="shared" ref="C183:C187" si="75">G183</f>
        <v>0</v>
      </c>
      <c r="D183" s="214">
        <f t="shared" ref="D183:D187" si="76">B183-C183</f>
        <v>0</v>
      </c>
      <c r="E183" s="215" t="str">
        <f t="shared" ref="E183:E187" si="77">D183/B183*100</f>
        <v>#DIV/0!</v>
      </c>
      <c r="F183" s="216" t="str">
        <f t="shared" ref="F183:F187" si="78">D183/H183</f>
        <v>#DIV/0!</v>
      </c>
      <c r="G183" s="218">
        <f>220*H183</f>
        <v>0</v>
      </c>
      <c r="H183" s="307"/>
    </row>
    <row r="184">
      <c r="A184" s="90" t="s">
        <v>163</v>
      </c>
      <c r="B184" s="212"/>
      <c r="C184" s="221">
        <f t="shared" si="75"/>
        <v>0</v>
      </c>
      <c r="D184" s="214">
        <f t="shared" si="76"/>
        <v>0</v>
      </c>
      <c r="E184" s="215" t="str">
        <f t="shared" si="77"/>
        <v>#DIV/0!</v>
      </c>
      <c r="F184" s="216" t="str">
        <f t="shared" si="78"/>
        <v>#DIV/0!</v>
      </c>
      <c r="G184" s="218">
        <f>304*H184</f>
        <v>0</v>
      </c>
      <c r="H184" s="307"/>
    </row>
    <row r="185">
      <c r="A185" s="90" t="s">
        <v>164</v>
      </c>
      <c r="B185" s="212"/>
      <c r="C185" s="221">
        <f t="shared" si="75"/>
        <v>0</v>
      </c>
      <c r="D185" s="214">
        <f t="shared" si="76"/>
        <v>0</v>
      </c>
      <c r="E185" s="215" t="str">
        <f t="shared" si="77"/>
        <v>#DIV/0!</v>
      </c>
      <c r="F185" s="216" t="str">
        <f t="shared" si="78"/>
        <v>#DIV/0!</v>
      </c>
      <c r="G185" s="218">
        <f>662*H185</f>
        <v>0</v>
      </c>
      <c r="H185" s="307"/>
    </row>
    <row r="186">
      <c r="A186" s="90" t="s">
        <v>175</v>
      </c>
      <c r="B186" s="212"/>
      <c r="C186" s="221">
        <f t="shared" si="75"/>
        <v>0</v>
      </c>
      <c r="D186" s="214">
        <f t="shared" si="76"/>
        <v>0</v>
      </c>
      <c r="E186" s="215" t="str">
        <f t="shared" si="77"/>
        <v>#DIV/0!</v>
      </c>
      <c r="F186" s="216" t="str">
        <f t="shared" si="78"/>
        <v>#DIV/0!</v>
      </c>
      <c r="G186" s="218">
        <f>300*H186</f>
        <v>0</v>
      </c>
      <c r="H186" s="307"/>
    </row>
    <row r="187">
      <c r="A187" s="90" t="s">
        <v>166</v>
      </c>
      <c r="B187" s="212"/>
      <c r="C187" s="221">
        <f t="shared" si="75"/>
        <v>0</v>
      </c>
      <c r="D187" s="214">
        <f t="shared" si="76"/>
        <v>0</v>
      </c>
      <c r="E187" s="215" t="str">
        <f t="shared" si="77"/>
        <v>#DIV/0!</v>
      </c>
      <c r="F187" s="216" t="str">
        <f t="shared" si="78"/>
        <v>#DIV/0!</v>
      </c>
      <c r="G187" s="218">
        <f t="shared" ref="G187:G188" si="80">778*H187</f>
        <v>0</v>
      </c>
      <c r="H187" s="307"/>
    </row>
    <row r="188">
      <c r="A188" s="90"/>
      <c r="B188" s="261"/>
      <c r="C188" s="262">
        <f t="shared" ref="C188:D188" si="79">SUM(C183:C187)</f>
        <v>0</v>
      </c>
      <c r="D188" s="263">
        <f t="shared" si="79"/>
        <v>0</v>
      </c>
      <c r="E188" s="262"/>
      <c r="F188" s="264"/>
      <c r="G188" s="265">
        <f t="shared" si="80"/>
        <v>0</v>
      </c>
      <c r="H188" s="107">
        <f>SUM(H183:H187)</f>
        <v>0</v>
      </c>
    </row>
    <row r="189">
      <c r="A189" s="259"/>
      <c r="B189" s="260"/>
      <c r="C189" s="157"/>
      <c r="D189" s="157"/>
      <c r="E189" s="157"/>
      <c r="F189" s="70"/>
      <c r="G189" s="70"/>
    </row>
    <row r="190">
      <c r="A190" s="259"/>
      <c r="B190" s="260"/>
      <c r="C190" s="157"/>
      <c r="D190" s="157"/>
      <c r="E190" s="157"/>
      <c r="F190" s="70"/>
      <c r="G190" s="70"/>
    </row>
    <row r="191">
      <c r="A191" s="259"/>
      <c r="B191" s="260"/>
      <c r="C191" s="157"/>
      <c r="D191" s="157"/>
      <c r="E191" s="157"/>
      <c r="F191" s="70"/>
      <c r="G191" s="70"/>
    </row>
    <row r="192">
      <c r="A192" s="259"/>
      <c r="B192" s="260"/>
      <c r="C192" s="157"/>
      <c r="D192" s="157"/>
      <c r="E192" s="157"/>
      <c r="F192" s="70"/>
      <c r="G192" s="70"/>
    </row>
    <row r="193">
      <c r="A193" s="259"/>
      <c r="B193" s="260"/>
      <c r="C193" s="157"/>
      <c r="D193" s="157"/>
      <c r="E193" s="157"/>
      <c r="F193" s="70"/>
      <c r="G193" s="70"/>
    </row>
    <row r="194">
      <c r="A194" s="70"/>
      <c r="B194" s="70"/>
      <c r="C194" s="70"/>
      <c r="D194" s="70"/>
      <c r="E194" s="70"/>
      <c r="F194" s="70"/>
      <c r="G194" s="70"/>
    </row>
    <row r="195" ht="18.0" customHeight="1"/>
    <row r="196">
      <c r="A196" s="127">
        <v>45992.0</v>
      </c>
    </row>
    <row r="197" ht="15.75" customHeight="1"/>
    <row r="198">
      <c r="A198" s="227" t="s">
        <v>152</v>
      </c>
      <c r="B198" s="228">
        <f>B40+I69+I102+H122+H142+H171+H188</f>
        <v>9082</v>
      </c>
    </row>
    <row r="199">
      <c r="A199" s="71" t="s">
        <v>79</v>
      </c>
      <c r="B199" s="72">
        <f>B41+B72+B105+B125+B144+B171+B188</f>
        <v>9311082.86</v>
      </c>
    </row>
    <row r="200">
      <c r="A200" s="229" t="s">
        <v>41</v>
      </c>
      <c r="B200" s="230">
        <f>B42+B73+B106+B126+B145+B174+G188</f>
        <v>3540544</v>
      </c>
      <c r="D200" s="327"/>
      <c r="F200" s="58"/>
      <c r="G200" s="70"/>
      <c r="H200" s="129"/>
      <c r="I200" s="129"/>
      <c r="J200" s="129"/>
      <c r="K200" s="70"/>
    </row>
    <row r="201">
      <c r="A201" s="231" t="s">
        <v>80</v>
      </c>
      <c r="B201" s="232">
        <f>B199-B200</f>
        <v>5770538.86</v>
      </c>
      <c r="F201" s="58"/>
      <c r="G201" s="70"/>
      <c r="H201" s="70"/>
      <c r="I201" s="169"/>
      <c r="J201" s="148"/>
      <c r="K201" s="70"/>
      <c r="M201" s="128"/>
      <c r="N201" s="113"/>
    </row>
    <row r="202">
      <c r="A202" s="71" t="s">
        <v>81</v>
      </c>
      <c r="B202" s="78">
        <f>B201/B199</f>
        <v>0.6197494907</v>
      </c>
      <c r="C202" s="60" t="s">
        <v>181</v>
      </c>
      <c r="F202" s="128"/>
      <c r="G202" s="70"/>
      <c r="H202" s="70"/>
      <c r="I202" s="169"/>
      <c r="J202" s="148"/>
      <c r="K202" s="70"/>
    </row>
    <row r="203">
      <c r="A203" s="231" t="s">
        <v>82</v>
      </c>
      <c r="B203" s="232">
        <f>B43+B74+B75+B107+B127+B146+B175</f>
        <v>832543</v>
      </c>
      <c r="D203" s="296"/>
      <c r="F203" s="128"/>
      <c r="G203" s="70"/>
      <c r="H203" s="70"/>
      <c r="I203" s="169"/>
      <c r="J203" s="148"/>
      <c r="K203" s="70"/>
      <c r="L203" s="128"/>
      <c r="M203" s="113"/>
    </row>
    <row r="204">
      <c r="A204" s="233" t="s">
        <v>83</v>
      </c>
      <c r="B204" s="234">
        <f>B44+B76+B108+B128+B147+B176</f>
        <v>4241855.66</v>
      </c>
      <c r="C204" s="308"/>
      <c r="D204" s="309"/>
      <c r="F204" s="113"/>
      <c r="G204" s="70"/>
      <c r="H204" s="70"/>
      <c r="I204" s="169"/>
      <c r="J204" s="148"/>
      <c r="K204" s="70"/>
    </row>
    <row r="205">
      <c r="A205" s="81" t="s">
        <v>84</v>
      </c>
      <c r="B205" s="82">
        <f>B201-(B203+B204)</f>
        <v>696140.2</v>
      </c>
      <c r="G205" s="70"/>
      <c r="H205" s="157"/>
      <c r="I205" s="170"/>
      <c r="J205" s="148"/>
      <c r="K205" s="70"/>
    </row>
    <row r="206">
      <c r="A206" s="71" t="s">
        <v>85</v>
      </c>
      <c r="B206" s="89">
        <f>B205/B199</f>
        <v>0.07476468747</v>
      </c>
      <c r="G206" s="70"/>
      <c r="H206" s="70"/>
      <c r="I206" s="169"/>
      <c r="J206" s="148"/>
      <c r="K206" s="70"/>
    </row>
    <row r="207">
      <c r="A207" s="235" t="s">
        <v>86</v>
      </c>
      <c r="B207" s="310">
        <v>1354091.0</v>
      </c>
      <c r="F207" s="70"/>
      <c r="G207" s="70"/>
      <c r="H207" s="129"/>
      <c r="I207" s="129"/>
      <c r="J207" s="70"/>
      <c r="K207" s="70"/>
    </row>
    <row r="208">
      <c r="A208" s="85" t="s">
        <v>87</v>
      </c>
      <c r="B208" s="86">
        <f>B207+B204+B203+B200</f>
        <v>9969033.66</v>
      </c>
      <c r="F208" s="166"/>
      <c r="G208" s="129"/>
      <c r="H208" s="70"/>
      <c r="I208" s="70"/>
      <c r="J208" s="70"/>
      <c r="K208" s="70"/>
    </row>
    <row r="209">
      <c r="A209" s="87" t="s">
        <v>88</v>
      </c>
      <c r="B209" s="88">
        <f>B199-B208</f>
        <v>-657950.8</v>
      </c>
      <c r="F209" s="166"/>
      <c r="G209" s="70"/>
      <c r="H209" s="70"/>
      <c r="I209" s="70"/>
      <c r="J209" s="70"/>
      <c r="K209" s="70"/>
    </row>
    <row r="210">
      <c r="A210" s="71" t="s">
        <v>89</v>
      </c>
      <c r="B210" s="89">
        <f>B209/B199</f>
        <v>-0.07066318815</v>
      </c>
      <c r="F210" s="172"/>
      <c r="G210" s="70"/>
      <c r="H210" s="70"/>
      <c r="I210" s="70"/>
      <c r="J210" s="70"/>
      <c r="K210" s="70"/>
    </row>
    <row r="211">
      <c r="E211" s="70"/>
      <c r="F211" s="172"/>
      <c r="G211" s="70"/>
      <c r="H211" s="70"/>
      <c r="I211" s="70"/>
      <c r="J211" s="70"/>
      <c r="K211" s="70"/>
    </row>
    <row r="212">
      <c r="E212" s="70"/>
      <c r="F212" s="172"/>
      <c r="G212" s="70"/>
      <c r="H212" s="70"/>
    </row>
    <row r="213">
      <c r="E213" s="129"/>
      <c r="F213" s="173"/>
      <c r="G213" s="129"/>
      <c r="H213" s="70"/>
    </row>
    <row r="214">
      <c r="E214" s="70"/>
      <c r="F214" s="70"/>
      <c r="G214" s="70"/>
      <c r="H214" s="70"/>
    </row>
    <row r="215">
      <c r="E215" s="70"/>
      <c r="F215" s="70"/>
      <c r="G215" s="70"/>
      <c r="H215" s="70"/>
    </row>
    <row r="216">
      <c r="A216" s="266" t="s">
        <v>167</v>
      </c>
      <c r="E216" s="70"/>
      <c r="F216" s="70"/>
      <c r="G216" s="70"/>
      <c r="H216" s="70"/>
    </row>
    <row r="217">
      <c r="A217" s="140" t="s">
        <v>122</v>
      </c>
      <c r="B217" s="140" t="s">
        <v>123</v>
      </c>
      <c r="C217" s="141" t="s">
        <v>159</v>
      </c>
      <c r="D217" s="141" t="s">
        <v>124</v>
      </c>
      <c r="E217" s="70"/>
      <c r="F217" s="70"/>
      <c r="G217" s="70"/>
      <c r="H217" s="70"/>
    </row>
    <row r="218">
      <c r="A218" s="142" t="s">
        <v>125</v>
      </c>
      <c r="B218" s="143">
        <f>B40</f>
        <v>5213</v>
      </c>
      <c r="C218" s="238">
        <f>K35</f>
        <v>20</v>
      </c>
      <c r="D218" s="144">
        <f t="shared" ref="D218:D223" si="81">C218/$C$224</f>
        <v>0.005142710208</v>
      </c>
      <c r="E218" s="70"/>
      <c r="F218" s="70"/>
      <c r="G218" s="70"/>
      <c r="H218" s="70"/>
    </row>
    <row r="219">
      <c r="A219" s="142" t="s">
        <v>48</v>
      </c>
      <c r="B219" s="143">
        <f>B72</f>
        <v>2603510</v>
      </c>
      <c r="C219" s="238">
        <f>I69</f>
        <v>2640</v>
      </c>
      <c r="D219" s="144">
        <f t="shared" si="81"/>
        <v>0.6788377475</v>
      </c>
      <c r="E219" s="70"/>
      <c r="F219" s="70"/>
      <c r="G219" s="70"/>
      <c r="H219" s="70"/>
    </row>
    <row r="220">
      <c r="A220" s="142" t="s">
        <v>70</v>
      </c>
      <c r="B220" s="143">
        <f>B122</f>
        <v>219654</v>
      </c>
      <c r="C220" s="238">
        <f>H122</f>
        <v>342</v>
      </c>
      <c r="D220" s="144">
        <f t="shared" si="81"/>
        <v>0.08794034456</v>
      </c>
      <c r="E220" s="70"/>
      <c r="F220" s="70"/>
      <c r="G220" s="70"/>
      <c r="H220" s="70"/>
    </row>
    <row r="221">
      <c r="A221" s="142" t="s">
        <v>76</v>
      </c>
      <c r="B221" s="143">
        <f>B142</f>
        <v>51121</v>
      </c>
      <c r="C221" s="238">
        <f>H142</f>
        <v>99</v>
      </c>
      <c r="D221" s="144">
        <f t="shared" si="81"/>
        <v>0.02545641553</v>
      </c>
    </row>
    <row r="222">
      <c r="A222" s="142" t="s">
        <v>78</v>
      </c>
      <c r="B222" s="143">
        <f>B173</f>
        <v>394472</v>
      </c>
      <c r="C222" s="238">
        <f>H171</f>
        <v>535</v>
      </c>
      <c r="D222" s="144">
        <f t="shared" si="81"/>
        <v>0.1375674981</v>
      </c>
      <c r="E222" s="70"/>
      <c r="F222" s="70"/>
      <c r="G222" s="70"/>
      <c r="H222" s="70"/>
    </row>
    <row r="223">
      <c r="A223" s="142" t="s">
        <v>64</v>
      </c>
      <c r="B223" s="143">
        <f>B105</f>
        <v>168351</v>
      </c>
      <c r="C223" s="238">
        <f>I102</f>
        <v>253</v>
      </c>
      <c r="D223" s="144">
        <f t="shared" si="81"/>
        <v>0.06505528413</v>
      </c>
    </row>
    <row r="224">
      <c r="A224" s="145" t="s">
        <v>38</v>
      </c>
      <c r="B224" s="146">
        <f t="shared" ref="B224:C224" si="82">SUM(B218:B223)</f>
        <v>3442321</v>
      </c>
      <c r="C224" s="239">
        <f t="shared" si="82"/>
        <v>3889</v>
      </c>
      <c r="D224" s="192">
        <v>1.0</v>
      </c>
    </row>
    <row r="229">
      <c r="A229" s="70"/>
      <c r="B229" s="70"/>
      <c r="C229" s="70"/>
      <c r="D229" s="70"/>
    </row>
    <row r="230">
      <c r="A230" s="70"/>
      <c r="B230" s="70"/>
      <c r="C230" s="70"/>
      <c r="D230" s="70"/>
    </row>
    <row r="231">
      <c r="A231" s="70"/>
      <c r="B231" s="70"/>
      <c r="C231" s="70"/>
      <c r="D231" s="70"/>
    </row>
    <row r="232">
      <c r="A232" s="267" t="s">
        <v>91</v>
      </c>
      <c r="B232" s="268">
        <f>SUM(B233:B239)</f>
        <v>9082</v>
      </c>
      <c r="C232" s="129"/>
      <c r="D232" s="70"/>
    </row>
    <row r="233">
      <c r="A233" s="107" t="s">
        <v>92</v>
      </c>
      <c r="B233" s="270">
        <f>K36</f>
        <v>5213</v>
      </c>
      <c r="C233" s="148"/>
      <c r="D233" s="70"/>
    </row>
    <row r="234">
      <c r="A234" s="107" t="s">
        <v>48</v>
      </c>
      <c r="B234" s="270">
        <f>I69</f>
        <v>2640</v>
      </c>
      <c r="C234" s="148"/>
      <c r="D234" s="70"/>
    </row>
    <row r="235">
      <c r="A235" s="107" t="s">
        <v>64</v>
      </c>
      <c r="B235" s="270">
        <f>I102</f>
        <v>253</v>
      </c>
      <c r="C235" s="148"/>
      <c r="D235" s="70"/>
    </row>
    <row r="236">
      <c r="A236" s="107" t="s">
        <v>70</v>
      </c>
      <c r="B236" s="270">
        <f>H122</f>
        <v>342</v>
      </c>
      <c r="C236" s="148"/>
      <c r="D236" s="70"/>
    </row>
    <row r="237">
      <c r="A237" s="107" t="s">
        <v>76</v>
      </c>
      <c r="B237" s="270">
        <f>H142</f>
        <v>99</v>
      </c>
      <c r="C237" s="148"/>
      <c r="D237" s="70"/>
    </row>
    <row r="238">
      <c r="A238" s="107" t="s">
        <v>95</v>
      </c>
      <c r="B238" s="270">
        <f>H171</f>
        <v>535</v>
      </c>
      <c r="C238" s="148"/>
      <c r="D238" s="70"/>
    </row>
    <row r="239">
      <c r="A239" s="107" t="s">
        <v>96</v>
      </c>
      <c r="B239" s="270"/>
      <c r="C239" s="148"/>
      <c r="D239" s="70"/>
    </row>
    <row r="240">
      <c r="A240" s="267" t="s">
        <v>97</v>
      </c>
      <c r="B240" s="272">
        <f>SUM(B241:B247)</f>
        <v>9311082.86</v>
      </c>
      <c r="C240" s="148"/>
      <c r="D240" s="70"/>
    </row>
    <row r="241">
      <c r="A241" s="107" t="s">
        <v>92</v>
      </c>
      <c r="B241" s="109">
        <f>B41</f>
        <v>5873974.86</v>
      </c>
      <c r="C241" s="149"/>
      <c r="D241" s="70"/>
    </row>
    <row r="242">
      <c r="A242" s="107" t="s">
        <v>48</v>
      </c>
      <c r="B242" s="109">
        <f>B72</f>
        <v>2603510</v>
      </c>
      <c r="C242" s="70"/>
      <c r="D242" s="70"/>
    </row>
    <row r="243">
      <c r="A243" s="107" t="s">
        <v>64</v>
      </c>
      <c r="B243" s="109">
        <f>B105</f>
        <v>168351</v>
      </c>
      <c r="C243" s="70"/>
      <c r="D243" s="70"/>
    </row>
    <row r="244">
      <c r="A244" s="107" t="s">
        <v>70</v>
      </c>
      <c r="B244" s="109">
        <f>B122</f>
        <v>219654</v>
      </c>
      <c r="C244" s="70"/>
      <c r="D244" s="70"/>
    </row>
    <row r="245">
      <c r="A245" s="107" t="s">
        <v>76</v>
      </c>
      <c r="B245" s="109">
        <f>B142</f>
        <v>51121</v>
      </c>
      <c r="C245" s="70"/>
      <c r="D245" s="70"/>
    </row>
    <row r="246">
      <c r="A246" s="107" t="s">
        <v>95</v>
      </c>
      <c r="B246" s="109">
        <f>B171</f>
        <v>394472</v>
      </c>
    </row>
    <row r="247">
      <c r="A247" s="107" t="s">
        <v>96</v>
      </c>
      <c r="B247" s="109"/>
    </row>
    <row r="248">
      <c r="A248" s="267" t="s">
        <v>98</v>
      </c>
      <c r="B248" s="272">
        <f>SUM(B249:B255)</f>
        <v>8157423.801</v>
      </c>
    </row>
    <row r="249">
      <c r="A249" s="107" t="s">
        <v>92</v>
      </c>
      <c r="B249" s="274">
        <f>B241/1.12</f>
        <v>5244620.411</v>
      </c>
    </row>
    <row r="250">
      <c r="A250" s="107" t="s">
        <v>48</v>
      </c>
      <c r="B250" s="274">
        <f t="shared" ref="B250:B255" si="83">B242/1.18</f>
        <v>2206364.407</v>
      </c>
    </row>
    <row r="251">
      <c r="A251" s="107" t="s">
        <v>64</v>
      </c>
      <c r="B251" s="274">
        <f t="shared" si="83"/>
        <v>142670.339</v>
      </c>
    </row>
    <row r="252">
      <c r="A252" s="107" t="s">
        <v>70</v>
      </c>
      <c r="B252" s="274">
        <f t="shared" si="83"/>
        <v>186147.4576</v>
      </c>
    </row>
    <row r="253">
      <c r="A253" s="107" t="s">
        <v>76</v>
      </c>
      <c r="B253" s="274">
        <f t="shared" si="83"/>
        <v>43322.88136</v>
      </c>
    </row>
    <row r="254">
      <c r="A254" s="107" t="s">
        <v>95</v>
      </c>
      <c r="B254" s="274">
        <f t="shared" si="83"/>
        <v>334298.3051</v>
      </c>
    </row>
    <row r="255">
      <c r="A255" s="107" t="s">
        <v>96</v>
      </c>
      <c r="B255" s="274">
        <f t="shared" si="83"/>
        <v>0</v>
      </c>
    </row>
    <row r="256">
      <c r="A256" s="297" t="s">
        <v>41</v>
      </c>
      <c r="B256" s="298">
        <f>B200/1.18</f>
        <v>3000461.017</v>
      </c>
    </row>
    <row r="257">
      <c r="A257" s="90" t="s">
        <v>80</v>
      </c>
      <c r="B257" s="97">
        <f>B248-B256</f>
        <v>5156962.784</v>
      </c>
    </row>
    <row r="258">
      <c r="A258" s="92" t="s">
        <v>99</v>
      </c>
      <c r="B258" s="98">
        <f>B257/B248</f>
        <v>0.6321803194</v>
      </c>
    </row>
    <row r="259">
      <c r="A259" s="99" t="s">
        <v>100</v>
      </c>
      <c r="B259" s="100">
        <f>B43+B75+B127+B146+B175</f>
        <v>540966</v>
      </c>
    </row>
    <row r="260">
      <c r="A260" s="99" t="s">
        <v>101</v>
      </c>
      <c r="B260" s="100">
        <f>B74+B106</f>
        <v>334847</v>
      </c>
    </row>
    <row r="261">
      <c r="A261" s="101" t="s">
        <v>102</v>
      </c>
      <c r="B261" s="95">
        <f>B257-(B259+B260)</f>
        <v>4281149.784</v>
      </c>
    </row>
    <row r="262">
      <c r="A262" s="92" t="s">
        <v>103</v>
      </c>
      <c r="B262" s="98">
        <f>B261/B248</f>
        <v>0.5248163989</v>
      </c>
    </row>
    <row r="263">
      <c r="A263" s="28" t="s">
        <v>104</v>
      </c>
      <c r="B263" s="95">
        <f>B204/1.18</f>
        <v>3594792.932</v>
      </c>
    </row>
    <row r="264">
      <c r="A264" s="101" t="s">
        <v>105</v>
      </c>
      <c r="B264" s="95">
        <f>B261-B263</f>
        <v>686356.8514</v>
      </c>
    </row>
    <row r="265">
      <c r="A265" s="92" t="s">
        <v>106</v>
      </c>
      <c r="B265" s="102">
        <f>B264/B248</f>
        <v>0.0841389228</v>
      </c>
    </row>
    <row r="266">
      <c r="A266" s="28" t="s">
        <v>107</v>
      </c>
      <c r="B266" s="28">
        <v>550000.0</v>
      </c>
    </row>
    <row r="267">
      <c r="A267" s="28" t="s">
        <v>108</v>
      </c>
      <c r="B267" s="28">
        <v>380000.0</v>
      </c>
    </row>
    <row r="268">
      <c r="A268" s="28" t="s">
        <v>109</v>
      </c>
      <c r="B268" s="28">
        <v>80000.0</v>
      </c>
    </row>
    <row r="269">
      <c r="A269" s="28" t="s">
        <v>110</v>
      </c>
      <c r="B269" s="28">
        <v>85000.0</v>
      </c>
    </row>
    <row r="270">
      <c r="A270" s="28" t="s">
        <v>111</v>
      </c>
      <c r="B270" s="28">
        <v>60000.0</v>
      </c>
    </row>
    <row r="271">
      <c r="A271" s="101" t="s">
        <v>112</v>
      </c>
      <c r="B271" s="95">
        <f>B264-SUM(B266:B270)</f>
        <v>-468643.1486</v>
      </c>
    </row>
    <row r="272">
      <c r="A272" s="92" t="s">
        <v>113</v>
      </c>
      <c r="B272" s="102">
        <f>B271/B248</f>
        <v>-0.05744989596</v>
      </c>
    </row>
    <row r="273">
      <c r="A273" s="299"/>
      <c r="B273" s="300"/>
    </row>
    <row r="274">
      <c r="A274" s="299"/>
      <c r="B274" s="300"/>
    </row>
    <row r="275">
      <c r="A275" s="311" t="s">
        <v>182</v>
      </c>
    </row>
    <row r="276">
      <c r="A276" s="312" t="s">
        <v>21</v>
      </c>
      <c r="B276" s="313">
        <f>'April 25'!F175+'May 25'!F200+'June 25'!G205+'July 25'!F205+'Aug 25'!E183+'Sep 25'!E197+'Oct 25'!F214+F198</f>
        <v>15117747.11</v>
      </c>
    </row>
    <row r="277">
      <c r="A277" s="312" t="s">
        <v>23</v>
      </c>
      <c r="B277" s="313">
        <f>'April 25'!F176+'May 25'!F201+'June 25'!G206+'July 25'!F206+'Aug 25'!E184+'Sep 25'!E198+'Oct 25'!F215+F199</f>
        <v>15162750.01</v>
      </c>
    </row>
    <row r="278">
      <c r="A278" s="312" t="s">
        <v>25</v>
      </c>
      <c r="B278" s="313">
        <f>'April 25'!F177+'May 25'!F202+'June 25'!G207+'July 25'!F207+'Aug 25'!E185+'Sep 25'!E199+'Oct 25'!F216+F200</f>
        <v>1975408.164</v>
      </c>
    </row>
    <row r="279">
      <c r="A279" s="312" t="s">
        <v>26</v>
      </c>
      <c r="B279" s="313">
        <f>'April 25'!F178+'May 25'!F203+'June 25'!G208+'July 25'!F208+'Aug 25'!E186+'Sep 25'!E200+'Oct 25'!F217+F201</f>
        <v>3955895.01</v>
      </c>
    </row>
    <row r="280">
      <c r="A280" s="312" t="s">
        <v>28</v>
      </c>
      <c r="B280" s="313">
        <f>'April 25'!F179+'May 25'!F204+'June 25'!G209+'July 25'!F209+'Aug 25'!E187+'Sep 25'!E201+'Oct 25'!F218+F202</f>
        <v>222777.37</v>
      </c>
    </row>
    <row r="281">
      <c r="A281" s="312" t="s">
        <v>29</v>
      </c>
      <c r="B281" s="313">
        <f>'April 25'!F180+'May 25'!F205+'June 25'!G210+'July 25'!F210+'Aug 25'!E188+'Sep 25'!E202+'Oct 25'!F219+F203</f>
        <v>10168642.4</v>
      </c>
    </row>
    <row r="282">
      <c r="A282" s="312" t="s">
        <v>31</v>
      </c>
      <c r="B282" s="313">
        <f>'April 25'!F181+'May 25'!F206+'June 25'!G211+'July 25'!F211+'Aug 25'!E189+'Sep 25'!E203+'Oct 25'!F220+F204</f>
        <v>1030490.02</v>
      </c>
    </row>
    <row r="283">
      <c r="A283" s="312" t="s">
        <v>32</v>
      </c>
      <c r="B283" s="313">
        <f>'April 25'!F182+'May 25'!F207+'June 25'!G212+'July 25'!F212+'Aug 25'!E190+'Sep 25'!E204+'Oct 25'!F221+F205</f>
        <v>320609.8</v>
      </c>
    </row>
    <row r="284">
      <c r="A284" s="312" t="s">
        <v>33</v>
      </c>
      <c r="B284" s="313">
        <f>'April 25'!F183+'May 25'!F208+'June 25'!G213+'July 25'!F213+'Aug 25'!E191+'Sep 25'!E205+'Oct 25'!F222+F206</f>
        <v>13072801.54</v>
      </c>
    </row>
    <row r="285">
      <c r="A285" s="312" t="s">
        <v>131</v>
      </c>
      <c r="B285" s="313">
        <f>'July 25'!F214+'Aug 25'!E192+'June 25'!G216+'Sep 25'!E206+'Oct 25'!F223+F207</f>
        <v>1260624.22</v>
      </c>
    </row>
    <row r="286">
      <c r="A286" s="312" t="s">
        <v>54</v>
      </c>
      <c r="B286" s="313">
        <f>'April 25'!F184+'May 25'!F209+'June 25'!G214+'July 25'!F215+'Aug 25'!E193+'Sep 25'!E207+'Oct 25'!F224+F208</f>
        <v>2662208.63</v>
      </c>
    </row>
    <row r="287">
      <c r="A287" s="312" t="s">
        <v>93</v>
      </c>
      <c r="B287" s="313">
        <f>F209+'Oct 25'!F225+'Sep 25'!E208+'Aug 25'!E194+'July 25'!F216+'June 25'!G215+'May 25'!F210+'April 25'!F185</f>
        <v>5788592.178</v>
      </c>
    </row>
    <row r="288">
      <c r="A288" s="312" t="s">
        <v>94</v>
      </c>
      <c r="B288" s="313">
        <f>F210+'Oct 25'!F226+'Sep 25'!E209+'Aug 25'!E195+'July 25'!F217+'June 25'!G217+'May 25'!F211+'April 25'!F186</f>
        <v>13280</v>
      </c>
    </row>
    <row r="289">
      <c r="A289" s="107"/>
      <c r="B289" s="314">
        <f>SUM(B276:B288)</f>
        <v>70751826.44</v>
      </c>
    </row>
  </sheetData>
  <mergeCells count="1">
    <mergeCell ref="A275:B275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0.5"/>
    <col customWidth="1" min="2" max="2" width="23.63"/>
    <col customWidth="1" min="5" max="5" width="12.88"/>
    <col customWidth="1" min="6" max="6" width="15.13"/>
    <col customWidth="1" min="9" max="9" width="14.63"/>
    <col customWidth="1" min="11" max="12" width="15.0"/>
    <col customWidth="1" min="13" max="14" width="13.75"/>
    <col customWidth="1" min="16" max="16" width="15.13"/>
    <col customWidth="1" min="17" max="17" width="11.38"/>
  </cols>
  <sheetData>
    <row r="1">
      <c r="A1" s="1" t="s">
        <v>186</v>
      </c>
      <c r="B1" s="194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195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3"/>
      <c r="U2" s="3"/>
      <c r="V2" s="3"/>
      <c r="W2" s="3"/>
      <c r="X2" s="3"/>
      <c r="Y2" s="3"/>
      <c r="Z2" s="3"/>
    </row>
    <row r="3">
      <c r="A3" s="5" t="s">
        <v>2</v>
      </c>
      <c r="B3" s="196" t="s">
        <v>177</v>
      </c>
      <c r="C3" s="6" t="s">
        <v>4</v>
      </c>
      <c r="D3" s="6" t="s">
        <v>5</v>
      </c>
      <c r="E3" s="7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6" t="s">
        <v>129</v>
      </c>
      <c r="K3" s="6" t="s">
        <v>12</v>
      </c>
      <c r="L3" s="6" t="s">
        <v>13</v>
      </c>
      <c r="M3" s="6" t="s">
        <v>14</v>
      </c>
      <c r="N3" s="6" t="s">
        <v>15</v>
      </c>
      <c r="O3" s="7" t="s">
        <v>16</v>
      </c>
      <c r="P3" s="7" t="s">
        <v>17</v>
      </c>
      <c r="Q3" s="7" t="s">
        <v>18</v>
      </c>
      <c r="R3" s="6" t="s">
        <v>19</v>
      </c>
      <c r="S3" s="6" t="s">
        <v>20</v>
      </c>
      <c r="T3" s="28" t="s">
        <v>130</v>
      </c>
      <c r="U3" s="3"/>
      <c r="V3" s="3"/>
      <c r="W3" s="3"/>
      <c r="X3" s="3"/>
      <c r="Y3" s="3"/>
      <c r="Z3" s="3"/>
    </row>
    <row r="4">
      <c r="A4" s="5" t="s">
        <v>21</v>
      </c>
      <c r="B4" s="197">
        <v>464129.38</v>
      </c>
      <c r="C4" s="9">
        <f t="shared" ref="C4:C11" si="1">G4+J4+L4</f>
        <v>173949</v>
      </c>
      <c r="D4" s="240"/>
      <c r="E4" s="11">
        <f t="shared" ref="E4:E11" si="2">D4/B4*100</f>
        <v>0</v>
      </c>
      <c r="F4" s="12">
        <f t="shared" ref="F4:F11" si="3">D4/K4</f>
        <v>0</v>
      </c>
      <c r="G4" s="13"/>
      <c r="H4" s="8">
        <v>598.0</v>
      </c>
      <c r="I4" s="8">
        <v>593.0</v>
      </c>
      <c r="J4" s="14">
        <f t="shared" ref="J4:J14" si="4">K4*T4</f>
        <v>118800</v>
      </c>
      <c r="K4" s="8">
        <v>540.0</v>
      </c>
      <c r="L4" s="15">
        <f t="shared" ref="L4:L40" si="5">I4*93</f>
        <v>55149</v>
      </c>
      <c r="M4" s="16">
        <f t="shared" ref="M4:M40" si="6">I4-K4-N4</f>
        <v>47</v>
      </c>
      <c r="N4" s="8">
        <v>6.0</v>
      </c>
      <c r="O4" s="17">
        <f t="shared" ref="O4:O40" si="7">IFERROR(M4/I4*100,0)</f>
        <v>7.925801012</v>
      </c>
      <c r="P4" s="18">
        <f t="shared" ref="P4:P19" si="8">I4/H4*100</f>
        <v>99.1638796</v>
      </c>
      <c r="Q4" s="19">
        <f t="shared" ref="Q4:Q19" si="9">K4/I4*100</f>
        <v>91.0623946</v>
      </c>
      <c r="R4" s="12">
        <f t="shared" ref="R4:R11" si="10">G4/K4</f>
        <v>0</v>
      </c>
      <c r="S4" s="198">
        <f t="shared" ref="S4:S41" si="11">(I4-H4)/H4</f>
        <v>-0.008361204013</v>
      </c>
      <c r="T4" s="65">
        <v>220.0</v>
      </c>
      <c r="U4" s="28"/>
      <c r="V4" s="3"/>
      <c r="W4" s="150" t="s">
        <v>2</v>
      </c>
      <c r="X4" s="3"/>
      <c r="Y4" s="3"/>
      <c r="Z4" s="3"/>
    </row>
    <row r="5">
      <c r="A5" s="5" t="s">
        <v>22</v>
      </c>
      <c r="B5" s="197">
        <v>9176.86</v>
      </c>
      <c r="C5" s="9">
        <f t="shared" si="1"/>
        <v>3291</v>
      </c>
      <c r="D5" s="240"/>
      <c r="E5" s="11">
        <f t="shared" si="2"/>
        <v>0</v>
      </c>
      <c r="F5" s="12">
        <f t="shared" si="3"/>
        <v>0</v>
      </c>
      <c r="G5" s="13"/>
      <c r="H5" s="8">
        <v>7.0</v>
      </c>
      <c r="I5" s="8">
        <v>7.0</v>
      </c>
      <c r="J5" s="14">
        <f t="shared" si="4"/>
        <v>2640</v>
      </c>
      <c r="K5" s="8">
        <v>6.0</v>
      </c>
      <c r="L5" s="15">
        <f t="shared" si="5"/>
        <v>651</v>
      </c>
      <c r="M5" s="16">
        <f t="shared" si="6"/>
        <v>1</v>
      </c>
      <c r="N5" s="13"/>
      <c r="O5" s="17">
        <f t="shared" si="7"/>
        <v>14.28571429</v>
      </c>
      <c r="P5" s="18">
        <f t="shared" si="8"/>
        <v>100</v>
      </c>
      <c r="Q5" s="19">
        <f t="shared" si="9"/>
        <v>85.71428571</v>
      </c>
      <c r="R5" s="12">
        <f t="shared" si="10"/>
        <v>0</v>
      </c>
      <c r="S5" s="198">
        <f t="shared" si="11"/>
        <v>0</v>
      </c>
      <c r="T5" s="65">
        <v>440.0</v>
      </c>
      <c r="U5" s="28"/>
      <c r="V5" s="3"/>
      <c r="W5" s="151" t="s">
        <v>21</v>
      </c>
      <c r="X5" s="3"/>
      <c r="Y5" s="3"/>
      <c r="Z5" s="3"/>
    </row>
    <row r="6">
      <c r="A6" s="5" t="s">
        <v>23</v>
      </c>
      <c r="B6" s="197">
        <v>1263935.35</v>
      </c>
      <c r="C6" s="21">
        <f t="shared" si="1"/>
        <v>543867</v>
      </c>
      <c r="D6" s="243"/>
      <c r="E6" s="11">
        <f t="shared" si="2"/>
        <v>0</v>
      </c>
      <c r="F6" s="12">
        <f t="shared" si="3"/>
        <v>0</v>
      </c>
      <c r="G6" s="23"/>
      <c r="H6" s="8">
        <v>1567.0</v>
      </c>
      <c r="I6" s="8">
        <v>1543.0</v>
      </c>
      <c r="J6" s="14">
        <f t="shared" si="4"/>
        <v>400368</v>
      </c>
      <c r="K6" s="8">
        <v>1317.0</v>
      </c>
      <c r="L6" s="15">
        <f t="shared" si="5"/>
        <v>143499</v>
      </c>
      <c r="M6" s="16">
        <f t="shared" si="6"/>
        <v>196</v>
      </c>
      <c r="N6" s="8">
        <v>30.0</v>
      </c>
      <c r="O6" s="17">
        <f t="shared" si="7"/>
        <v>12.70252754</v>
      </c>
      <c r="P6" s="18">
        <f t="shared" si="8"/>
        <v>98.46841098</v>
      </c>
      <c r="Q6" s="19">
        <f t="shared" si="9"/>
        <v>85.35320804</v>
      </c>
      <c r="R6" s="12">
        <f t="shared" si="10"/>
        <v>0</v>
      </c>
      <c r="S6" s="198">
        <f t="shared" si="11"/>
        <v>-0.01531589024</v>
      </c>
      <c r="T6" s="65">
        <v>304.0</v>
      </c>
      <c r="U6" s="28"/>
      <c r="V6" s="3"/>
      <c r="W6" s="151" t="s">
        <v>23</v>
      </c>
      <c r="X6" s="3"/>
      <c r="Y6" s="3"/>
      <c r="Z6" s="3"/>
    </row>
    <row r="7">
      <c r="A7" s="5" t="s">
        <v>24</v>
      </c>
      <c r="B7" s="197">
        <v>23528.5</v>
      </c>
      <c r="C7" s="21">
        <f t="shared" si="1"/>
        <v>10701</v>
      </c>
      <c r="D7" s="243"/>
      <c r="E7" s="11">
        <f t="shared" si="2"/>
        <v>0</v>
      </c>
      <c r="F7" s="12">
        <f t="shared" si="3"/>
        <v>0</v>
      </c>
      <c r="G7" s="23"/>
      <c r="H7" s="8">
        <v>17.0</v>
      </c>
      <c r="I7" s="8">
        <v>17.0</v>
      </c>
      <c r="J7" s="14">
        <f t="shared" si="4"/>
        <v>9120</v>
      </c>
      <c r="K7" s="8">
        <v>15.0</v>
      </c>
      <c r="L7" s="15">
        <f t="shared" si="5"/>
        <v>1581</v>
      </c>
      <c r="M7" s="16">
        <f t="shared" si="6"/>
        <v>2</v>
      </c>
      <c r="N7" s="13"/>
      <c r="O7" s="17">
        <f t="shared" si="7"/>
        <v>11.76470588</v>
      </c>
      <c r="P7" s="18">
        <f t="shared" si="8"/>
        <v>100</v>
      </c>
      <c r="Q7" s="19">
        <f t="shared" si="9"/>
        <v>88.23529412</v>
      </c>
      <c r="R7" s="12">
        <f t="shared" si="10"/>
        <v>0</v>
      </c>
      <c r="S7" s="198">
        <f t="shared" si="11"/>
        <v>0</v>
      </c>
      <c r="T7" s="65">
        <v>608.0</v>
      </c>
      <c r="U7" s="28"/>
      <c r="V7" s="3"/>
      <c r="W7" s="151" t="s">
        <v>25</v>
      </c>
      <c r="X7" s="3"/>
      <c r="Y7" s="3"/>
      <c r="Z7" s="3"/>
    </row>
    <row r="8">
      <c r="A8" s="5" t="s">
        <v>25</v>
      </c>
      <c r="B8" s="197">
        <v>361234.1</v>
      </c>
      <c r="C8" s="9">
        <f t="shared" si="1"/>
        <v>190227</v>
      </c>
      <c r="D8" s="240"/>
      <c r="E8" s="11">
        <f t="shared" si="2"/>
        <v>0</v>
      </c>
      <c r="F8" s="12">
        <f t="shared" si="3"/>
        <v>0</v>
      </c>
      <c r="G8" s="13"/>
      <c r="H8" s="8">
        <v>275.0</v>
      </c>
      <c r="I8" s="8">
        <v>273.0</v>
      </c>
      <c r="J8" s="14">
        <f t="shared" si="4"/>
        <v>164838</v>
      </c>
      <c r="K8" s="8">
        <v>249.0</v>
      </c>
      <c r="L8" s="15">
        <f t="shared" si="5"/>
        <v>25389</v>
      </c>
      <c r="M8" s="16">
        <f t="shared" si="6"/>
        <v>22</v>
      </c>
      <c r="N8" s="8">
        <v>2.0</v>
      </c>
      <c r="O8" s="17">
        <f t="shared" si="7"/>
        <v>8.058608059</v>
      </c>
      <c r="P8" s="18">
        <f t="shared" si="8"/>
        <v>99.27272727</v>
      </c>
      <c r="Q8" s="19">
        <f t="shared" si="9"/>
        <v>91.20879121</v>
      </c>
      <c r="R8" s="12">
        <f t="shared" si="10"/>
        <v>0</v>
      </c>
      <c r="S8" s="198">
        <f t="shared" si="11"/>
        <v>-0.007272727273</v>
      </c>
      <c r="T8" s="65">
        <v>662.0</v>
      </c>
      <c r="U8" s="28"/>
      <c r="V8" s="3"/>
      <c r="W8" s="151" t="s">
        <v>26</v>
      </c>
      <c r="X8" s="3"/>
      <c r="Y8" s="3"/>
      <c r="Z8" s="3"/>
    </row>
    <row r="9">
      <c r="A9" s="5" t="s">
        <v>26</v>
      </c>
      <c r="B9" s="197">
        <v>67655.14</v>
      </c>
      <c r="C9" s="9">
        <f t="shared" si="1"/>
        <v>40820</v>
      </c>
      <c r="D9" s="240"/>
      <c r="E9" s="11">
        <f t="shared" si="2"/>
        <v>0</v>
      </c>
      <c r="F9" s="12">
        <f t="shared" si="3"/>
        <v>0</v>
      </c>
      <c r="G9" s="13"/>
      <c r="H9" s="8">
        <v>158.0</v>
      </c>
      <c r="I9" s="8">
        <v>156.0</v>
      </c>
      <c r="J9" s="14">
        <f t="shared" si="4"/>
        <v>26312</v>
      </c>
      <c r="K9" s="8">
        <v>143.0</v>
      </c>
      <c r="L9" s="15">
        <f t="shared" si="5"/>
        <v>14508</v>
      </c>
      <c r="M9" s="16">
        <f t="shared" si="6"/>
        <v>10</v>
      </c>
      <c r="N9" s="8">
        <v>3.0</v>
      </c>
      <c r="O9" s="17">
        <f t="shared" si="7"/>
        <v>6.41025641</v>
      </c>
      <c r="P9" s="18">
        <f t="shared" si="8"/>
        <v>98.73417722</v>
      </c>
      <c r="Q9" s="19">
        <f t="shared" si="9"/>
        <v>91.66666667</v>
      </c>
      <c r="R9" s="12">
        <f t="shared" si="10"/>
        <v>0</v>
      </c>
      <c r="S9" s="198">
        <f t="shared" si="11"/>
        <v>-0.01265822785</v>
      </c>
      <c r="T9" s="65">
        <v>184.0</v>
      </c>
      <c r="U9" s="28"/>
      <c r="V9" s="3"/>
      <c r="W9" s="151" t="s">
        <v>28</v>
      </c>
      <c r="X9" s="3"/>
      <c r="Y9" s="3"/>
      <c r="Z9" s="3"/>
    </row>
    <row r="10">
      <c r="A10" s="5" t="s">
        <v>27</v>
      </c>
      <c r="B10" s="197">
        <v>22252.79</v>
      </c>
      <c r="C10" s="9">
        <f t="shared" si="1"/>
        <v>12540</v>
      </c>
      <c r="D10" s="240"/>
      <c r="E10" s="11">
        <f t="shared" si="2"/>
        <v>0</v>
      </c>
      <c r="F10" s="12">
        <f t="shared" si="3"/>
        <v>0</v>
      </c>
      <c r="G10" s="13"/>
      <c r="H10" s="8">
        <v>28.0</v>
      </c>
      <c r="I10" s="8">
        <v>28.0</v>
      </c>
      <c r="J10" s="14">
        <f t="shared" si="4"/>
        <v>9936</v>
      </c>
      <c r="K10" s="8">
        <v>27.0</v>
      </c>
      <c r="L10" s="15">
        <f t="shared" si="5"/>
        <v>2604</v>
      </c>
      <c r="M10" s="16">
        <f t="shared" si="6"/>
        <v>1</v>
      </c>
      <c r="N10" s="13"/>
      <c r="O10" s="17">
        <f t="shared" si="7"/>
        <v>3.571428571</v>
      </c>
      <c r="P10" s="18">
        <f t="shared" si="8"/>
        <v>100</v>
      </c>
      <c r="Q10" s="19">
        <f t="shared" si="9"/>
        <v>96.42857143</v>
      </c>
      <c r="R10" s="12">
        <f t="shared" si="10"/>
        <v>0</v>
      </c>
      <c r="S10" s="198">
        <f t="shared" si="11"/>
        <v>0</v>
      </c>
      <c r="T10" s="65">
        <v>368.0</v>
      </c>
      <c r="U10" s="28"/>
      <c r="V10" s="3"/>
      <c r="W10" s="151" t="s">
        <v>29</v>
      </c>
      <c r="X10" s="3"/>
      <c r="Y10" s="3"/>
      <c r="Z10" s="3"/>
    </row>
    <row r="11">
      <c r="A11" s="5" t="s">
        <v>154</v>
      </c>
      <c r="B11" s="197">
        <v>0.0</v>
      </c>
      <c r="C11" s="9">
        <f t="shared" si="1"/>
        <v>0</v>
      </c>
      <c r="D11" s="240"/>
      <c r="E11" s="11" t="str">
        <f t="shared" si="2"/>
        <v>#DIV/0!</v>
      </c>
      <c r="F11" s="12" t="str">
        <f t="shared" si="3"/>
        <v>#DIV/0!</v>
      </c>
      <c r="G11" s="13"/>
      <c r="H11" s="8">
        <v>0.0</v>
      </c>
      <c r="I11" s="8">
        <v>0.0</v>
      </c>
      <c r="J11" s="14">
        <f t="shared" si="4"/>
        <v>0</v>
      </c>
      <c r="K11" s="8">
        <v>0.0</v>
      </c>
      <c r="L11" s="15">
        <f t="shared" si="5"/>
        <v>0</v>
      </c>
      <c r="M11" s="16">
        <f t="shared" si="6"/>
        <v>0</v>
      </c>
      <c r="N11" s="13"/>
      <c r="O11" s="17">
        <f t="shared" si="7"/>
        <v>0</v>
      </c>
      <c r="P11" s="18" t="str">
        <f t="shared" si="8"/>
        <v>#DIV/0!</v>
      </c>
      <c r="Q11" s="19" t="str">
        <f t="shared" si="9"/>
        <v>#DIV/0!</v>
      </c>
      <c r="R11" s="12" t="str">
        <f t="shared" si="10"/>
        <v>#DIV/0!</v>
      </c>
      <c r="S11" s="198" t="str">
        <f t="shared" si="11"/>
        <v>#DIV/0!</v>
      </c>
      <c r="T11" s="65">
        <v>368.0</v>
      </c>
      <c r="U11" s="28"/>
      <c r="V11" s="3"/>
      <c r="W11" s="151"/>
      <c r="X11" s="3"/>
      <c r="Y11" s="3"/>
      <c r="Z11" s="3"/>
    </row>
    <row r="12">
      <c r="A12" s="5" t="s">
        <v>28</v>
      </c>
      <c r="B12" s="197">
        <v>0.0</v>
      </c>
      <c r="C12" s="21">
        <v>0.0</v>
      </c>
      <c r="D12" s="243"/>
      <c r="E12" s="11">
        <v>0.0</v>
      </c>
      <c r="F12" s="12">
        <v>0.0</v>
      </c>
      <c r="G12" s="23"/>
      <c r="H12" s="8">
        <v>0.0</v>
      </c>
      <c r="I12" s="8">
        <v>0.0</v>
      </c>
      <c r="J12" s="14">
        <f t="shared" si="4"/>
        <v>0</v>
      </c>
      <c r="K12" s="8">
        <v>0.0</v>
      </c>
      <c r="L12" s="15">
        <f t="shared" si="5"/>
        <v>0</v>
      </c>
      <c r="M12" s="16">
        <f t="shared" si="6"/>
        <v>0</v>
      </c>
      <c r="N12" s="13"/>
      <c r="O12" s="17">
        <f t="shared" si="7"/>
        <v>0</v>
      </c>
      <c r="P12" s="18" t="str">
        <f t="shared" si="8"/>
        <v>#DIV/0!</v>
      </c>
      <c r="Q12" s="19" t="str">
        <f t="shared" si="9"/>
        <v>#DIV/0!</v>
      </c>
      <c r="R12" s="155"/>
      <c r="S12" s="198" t="str">
        <f t="shared" si="11"/>
        <v>#DIV/0!</v>
      </c>
      <c r="T12" s="65">
        <v>206.0</v>
      </c>
      <c r="U12" s="28"/>
      <c r="V12" s="3"/>
      <c r="W12" s="151" t="s">
        <v>31</v>
      </c>
      <c r="X12" s="3"/>
      <c r="Y12" s="3"/>
      <c r="Z12" s="3"/>
    </row>
    <row r="13">
      <c r="A13" s="5" t="s">
        <v>29</v>
      </c>
      <c r="B13" s="197">
        <v>790544.48</v>
      </c>
      <c r="C13" s="21">
        <f t="shared" ref="C13:C15" si="12">G13+J13+L13</f>
        <v>340096</v>
      </c>
      <c r="D13" s="243"/>
      <c r="E13" s="11">
        <f t="shared" ref="E13:E19" si="13">D13/B13*100</f>
        <v>0</v>
      </c>
      <c r="F13" s="12">
        <f t="shared" ref="F13:F15" si="14">D13/K13</f>
        <v>0</v>
      </c>
      <c r="G13" s="23"/>
      <c r="H13" s="8">
        <v>941.0</v>
      </c>
      <c r="I13" s="8">
        <v>928.0</v>
      </c>
      <c r="J13" s="14">
        <f t="shared" si="4"/>
        <v>253792</v>
      </c>
      <c r="K13" s="8">
        <v>824.0</v>
      </c>
      <c r="L13" s="15">
        <f t="shared" si="5"/>
        <v>86304</v>
      </c>
      <c r="M13" s="16">
        <f t="shared" si="6"/>
        <v>88</v>
      </c>
      <c r="N13" s="8">
        <v>16.0</v>
      </c>
      <c r="O13" s="17">
        <f t="shared" si="7"/>
        <v>9.482758621</v>
      </c>
      <c r="P13" s="18">
        <f t="shared" si="8"/>
        <v>98.61849097</v>
      </c>
      <c r="Q13" s="19">
        <f t="shared" si="9"/>
        <v>88.79310345</v>
      </c>
      <c r="R13" s="12">
        <f t="shared" ref="R13:R15" si="15">G13/K13</f>
        <v>0</v>
      </c>
      <c r="S13" s="198">
        <f t="shared" si="11"/>
        <v>-0.01381509033</v>
      </c>
      <c r="T13" s="65">
        <v>308.0</v>
      </c>
      <c r="U13" s="28"/>
      <c r="V13" s="3"/>
      <c r="W13" s="151" t="s">
        <v>32</v>
      </c>
      <c r="X13" s="3"/>
      <c r="Y13" s="3"/>
      <c r="Z13" s="3"/>
    </row>
    <row r="14">
      <c r="A14" s="5" t="s">
        <v>30</v>
      </c>
      <c r="B14" s="197">
        <v>19680.86</v>
      </c>
      <c r="C14" s="21">
        <f t="shared" si="12"/>
        <v>7985</v>
      </c>
      <c r="D14" s="243"/>
      <c r="E14" s="11">
        <f t="shared" si="13"/>
        <v>0</v>
      </c>
      <c r="F14" s="12">
        <f t="shared" si="14"/>
        <v>0</v>
      </c>
      <c r="G14" s="23"/>
      <c r="H14" s="8">
        <v>13.0</v>
      </c>
      <c r="I14" s="8">
        <v>13.0</v>
      </c>
      <c r="J14" s="14">
        <f t="shared" si="4"/>
        <v>6776</v>
      </c>
      <c r="K14" s="8">
        <v>11.0</v>
      </c>
      <c r="L14" s="15">
        <f t="shared" si="5"/>
        <v>1209</v>
      </c>
      <c r="M14" s="16">
        <f t="shared" si="6"/>
        <v>2</v>
      </c>
      <c r="N14" s="13"/>
      <c r="O14" s="17">
        <f t="shared" si="7"/>
        <v>15.38461538</v>
      </c>
      <c r="P14" s="18">
        <f t="shared" si="8"/>
        <v>100</v>
      </c>
      <c r="Q14" s="19">
        <f t="shared" si="9"/>
        <v>84.61538462</v>
      </c>
      <c r="R14" s="12">
        <f t="shared" si="15"/>
        <v>0</v>
      </c>
      <c r="S14" s="198">
        <f t="shared" si="11"/>
        <v>0</v>
      </c>
      <c r="T14" s="65">
        <v>616.0</v>
      </c>
      <c r="U14" s="28"/>
      <c r="V14" s="3"/>
      <c r="W14" s="151" t="s">
        <v>33</v>
      </c>
      <c r="X14" s="3"/>
      <c r="Y14" s="3"/>
      <c r="Z14" s="3"/>
    </row>
    <row r="15">
      <c r="A15" s="5" t="s">
        <v>31</v>
      </c>
      <c r="B15" s="197">
        <v>0.0</v>
      </c>
      <c r="C15" s="21">
        <f t="shared" si="12"/>
        <v>0</v>
      </c>
      <c r="D15" s="243"/>
      <c r="E15" s="11" t="str">
        <f t="shared" si="13"/>
        <v>#DIV/0!</v>
      </c>
      <c r="F15" s="12" t="str">
        <f t="shared" si="14"/>
        <v>#DIV/0!</v>
      </c>
      <c r="G15" s="23"/>
      <c r="H15" s="8">
        <v>0.0</v>
      </c>
      <c r="I15" s="8">
        <v>0.0</v>
      </c>
      <c r="J15" s="14">
        <v>0.0</v>
      </c>
      <c r="K15" s="8">
        <v>0.0</v>
      </c>
      <c r="L15" s="15">
        <f t="shared" si="5"/>
        <v>0</v>
      </c>
      <c r="M15" s="16">
        <f t="shared" si="6"/>
        <v>0</v>
      </c>
      <c r="N15" s="13"/>
      <c r="O15" s="17">
        <f t="shared" si="7"/>
        <v>0</v>
      </c>
      <c r="P15" s="18" t="str">
        <f t="shared" si="8"/>
        <v>#DIV/0!</v>
      </c>
      <c r="Q15" s="19" t="str">
        <f t="shared" si="9"/>
        <v>#DIV/0!</v>
      </c>
      <c r="R15" s="12" t="str">
        <f t="shared" si="15"/>
        <v>#DIV/0!</v>
      </c>
      <c r="S15" s="198" t="str">
        <f t="shared" si="11"/>
        <v>#DIV/0!</v>
      </c>
      <c r="T15" s="65">
        <v>435.0</v>
      </c>
      <c r="U15" s="28"/>
      <c r="V15" s="3"/>
      <c r="W15" s="151" t="s">
        <v>131</v>
      </c>
      <c r="X15" s="3"/>
      <c r="Y15" s="3"/>
      <c r="Z15" s="3"/>
    </row>
    <row r="16">
      <c r="A16" s="5" t="s">
        <v>32</v>
      </c>
      <c r="B16" s="197">
        <v>0.0</v>
      </c>
      <c r="C16" s="21">
        <v>0.0</v>
      </c>
      <c r="D16" s="243"/>
      <c r="E16" s="11" t="str">
        <f t="shared" si="13"/>
        <v>#DIV/0!</v>
      </c>
      <c r="F16" s="12">
        <v>0.0</v>
      </c>
      <c r="G16" s="23"/>
      <c r="H16" s="8">
        <v>0.0</v>
      </c>
      <c r="I16" s="8">
        <v>0.0</v>
      </c>
      <c r="J16" s="14">
        <f t="shared" ref="J16:J40" si="16">K16*T16</f>
        <v>0</v>
      </c>
      <c r="K16" s="8">
        <v>0.0</v>
      </c>
      <c r="L16" s="15">
        <f t="shared" si="5"/>
        <v>0</v>
      </c>
      <c r="M16" s="16">
        <f t="shared" si="6"/>
        <v>0</v>
      </c>
      <c r="N16" s="13"/>
      <c r="O16" s="17">
        <f t="shared" si="7"/>
        <v>0</v>
      </c>
      <c r="P16" s="18" t="str">
        <f t="shared" si="8"/>
        <v>#DIV/0!</v>
      </c>
      <c r="Q16" s="19" t="str">
        <f t="shared" si="9"/>
        <v>#DIV/0!</v>
      </c>
      <c r="R16" s="155"/>
      <c r="S16" s="198" t="str">
        <f t="shared" si="11"/>
        <v>#DIV/0!</v>
      </c>
      <c r="T16" s="65">
        <v>699.0</v>
      </c>
      <c r="U16" s="28"/>
      <c r="V16" s="3"/>
      <c r="W16" s="156"/>
      <c r="X16" s="3"/>
      <c r="Y16" s="3"/>
      <c r="Z16" s="3"/>
    </row>
    <row r="17">
      <c r="A17" s="5" t="s">
        <v>33</v>
      </c>
      <c r="B17" s="197">
        <v>1353122.44</v>
      </c>
      <c r="C17" s="21">
        <f t="shared" ref="C17:C19" si="17">G17+J17+L17</f>
        <v>664673</v>
      </c>
      <c r="D17" s="243"/>
      <c r="E17" s="11">
        <f t="shared" si="13"/>
        <v>0</v>
      </c>
      <c r="F17" s="12">
        <f t="shared" ref="F17:F19" si="18">D17/K17</f>
        <v>0</v>
      </c>
      <c r="G17" s="23"/>
      <c r="H17" s="8">
        <v>844.0</v>
      </c>
      <c r="I17" s="8">
        <v>831.0</v>
      </c>
      <c r="J17" s="14">
        <f t="shared" si="16"/>
        <v>587390</v>
      </c>
      <c r="K17" s="8">
        <v>755.0</v>
      </c>
      <c r="L17" s="15">
        <f t="shared" si="5"/>
        <v>77283</v>
      </c>
      <c r="M17" s="16">
        <f t="shared" si="6"/>
        <v>66</v>
      </c>
      <c r="N17" s="8">
        <v>10.0</v>
      </c>
      <c r="O17" s="17">
        <f t="shared" si="7"/>
        <v>7.942238267</v>
      </c>
      <c r="P17" s="18">
        <f t="shared" si="8"/>
        <v>98.45971564</v>
      </c>
      <c r="Q17" s="19">
        <f t="shared" si="9"/>
        <v>90.8543923</v>
      </c>
      <c r="R17" s="12">
        <f t="shared" ref="R17:R19" si="19">G17/K17</f>
        <v>0</v>
      </c>
      <c r="S17" s="198">
        <f t="shared" si="11"/>
        <v>-0.0154028436</v>
      </c>
      <c r="T17" s="65">
        <v>778.0</v>
      </c>
      <c r="U17" s="28"/>
      <c r="V17" s="3"/>
      <c r="W17" s="3"/>
      <c r="X17" s="3"/>
      <c r="Y17" s="3"/>
      <c r="Z17" s="3"/>
    </row>
    <row r="18">
      <c r="A18" s="5" t="s">
        <v>34</v>
      </c>
      <c r="B18" s="197">
        <v>36152.09</v>
      </c>
      <c r="C18" s="21">
        <f t="shared" si="17"/>
        <v>21437</v>
      </c>
      <c r="D18" s="243"/>
      <c r="E18" s="11">
        <f t="shared" si="13"/>
        <v>0</v>
      </c>
      <c r="F18" s="12">
        <f t="shared" si="18"/>
        <v>0</v>
      </c>
      <c r="G18" s="23"/>
      <c r="H18" s="8">
        <v>13.0</v>
      </c>
      <c r="I18" s="8">
        <v>13.0</v>
      </c>
      <c r="J18" s="14">
        <f t="shared" si="16"/>
        <v>20228</v>
      </c>
      <c r="K18" s="8">
        <v>13.0</v>
      </c>
      <c r="L18" s="15">
        <f t="shared" si="5"/>
        <v>1209</v>
      </c>
      <c r="M18" s="16">
        <f t="shared" si="6"/>
        <v>0</v>
      </c>
      <c r="N18" s="13"/>
      <c r="O18" s="17">
        <f t="shared" si="7"/>
        <v>0</v>
      </c>
      <c r="P18" s="18">
        <f t="shared" si="8"/>
        <v>100</v>
      </c>
      <c r="Q18" s="19">
        <f t="shared" si="9"/>
        <v>100</v>
      </c>
      <c r="R18" s="12">
        <f t="shared" si="19"/>
        <v>0</v>
      </c>
      <c r="S18" s="198">
        <f t="shared" si="11"/>
        <v>0</v>
      </c>
      <c r="T18" s="65">
        <v>1556.0</v>
      </c>
      <c r="U18" s="28"/>
      <c r="V18" s="3"/>
      <c r="W18" s="3"/>
      <c r="X18" s="3"/>
      <c r="Y18" s="3"/>
      <c r="Z18" s="3"/>
    </row>
    <row r="19">
      <c r="A19" s="5" t="s">
        <v>131</v>
      </c>
      <c r="B19" s="197">
        <v>169928.62</v>
      </c>
      <c r="C19" s="21">
        <f t="shared" si="17"/>
        <v>110851</v>
      </c>
      <c r="D19" s="243"/>
      <c r="E19" s="11">
        <f t="shared" si="13"/>
        <v>0</v>
      </c>
      <c r="F19" s="12">
        <f t="shared" si="18"/>
        <v>0</v>
      </c>
      <c r="G19" s="23"/>
      <c r="H19" s="8">
        <v>110.0</v>
      </c>
      <c r="I19" s="8">
        <v>107.0</v>
      </c>
      <c r="J19" s="14">
        <f t="shared" si="16"/>
        <v>100900</v>
      </c>
      <c r="K19" s="8">
        <v>100.0</v>
      </c>
      <c r="L19" s="15">
        <f t="shared" si="5"/>
        <v>9951</v>
      </c>
      <c r="M19" s="16">
        <f t="shared" si="6"/>
        <v>5</v>
      </c>
      <c r="N19" s="8">
        <v>2.0</v>
      </c>
      <c r="O19" s="17">
        <f t="shared" si="7"/>
        <v>4.672897196</v>
      </c>
      <c r="P19" s="18">
        <f t="shared" si="8"/>
        <v>97.27272727</v>
      </c>
      <c r="Q19" s="19">
        <f t="shared" si="9"/>
        <v>93.45794393</v>
      </c>
      <c r="R19" s="12">
        <f t="shared" si="19"/>
        <v>0</v>
      </c>
      <c r="S19" s="198">
        <f t="shared" si="11"/>
        <v>-0.02727272727</v>
      </c>
      <c r="T19" s="65">
        <v>1009.0</v>
      </c>
      <c r="U19" s="28"/>
      <c r="V19" s="3"/>
      <c r="W19" s="3"/>
      <c r="X19" s="3"/>
      <c r="Y19" s="3"/>
      <c r="Z19" s="3"/>
    </row>
    <row r="20">
      <c r="A20" s="5" t="s">
        <v>37</v>
      </c>
      <c r="B20" s="197">
        <v>0.0</v>
      </c>
      <c r="C20" s="21">
        <v>0.0</v>
      </c>
      <c r="D20" s="243"/>
      <c r="E20" s="11">
        <v>0.0</v>
      </c>
      <c r="F20" s="12">
        <v>0.0</v>
      </c>
      <c r="G20" s="23"/>
      <c r="H20" s="8">
        <v>0.0</v>
      </c>
      <c r="I20" s="8">
        <v>0.0</v>
      </c>
      <c r="J20" s="14">
        <f t="shared" si="16"/>
        <v>0</v>
      </c>
      <c r="K20" s="8">
        <v>0.0</v>
      </c>
      <c r="L20" s="15">
        <f t="shared" si="5"/>
        <v>0</v>
      </c>
      <c r="M20" s="16">
        <f t="shared" si="6"/>
        <v>0</v>
      </c>
      <c r="N20" s="13"/>
      <c r="O20" s="17">
        <f t="shared" si="7"/>
        <v>0</v>
      </c>
      <c r="P20" s="18">
        <v>0.0</v>
      </c>
      <c r="Q20" s="19">
        <v>0.0</v>
      </c>
      <c r="R20" s="12">
        <v>0.0</v>
      </c>
      <c r="S20" s="198" t="str">
        <f t="shared" si="11"/>
        <v>#DIV/0!</v>
      </c>
      <c r="T20" s="65">
        <v>250.0</v>
      </c>
      <c r="U20" s="28"/>
      <c r="V20" s="3"/>
      <c r="W20" s="3"/>
      <c r="X20" s="3"/>
      <c r="Y20" s="3"/>
      <c r="Z20" s="3"/>
    </row>
    <row r="21">
      <c r="A21" s="5" t="s">
        <v>132</v>
      </c>
      <c r="B21" s="197">
        <v>20662.33</v>
      </c>
      <c r="C21" s="21">
        <f t="shared" ref="C21:C40" si="20">G21+J21+L21</f>
        <v>8925</v>
      </c>
      <c r="D21" s="243"/>
      <c r="E21" s="11">
        <f t="shared" ref="E21:E40" si="21">D21/B21*100</f>
        <v>0</v>
      </c>
      <c r="F21" s="12">
        <f t="shared" ref="F21:F40" si="22">D21/K21</f>
        <v>0</v>
      </c>
      <c r="G21" s="23"/>
      <c r="H21" s="8">
        <v>25.0</v>
      </c>
      <c r="I21" s="8">
        <v>25.0</v>
      </c>
      <c r="J21" s="14">
        <f t="shared" si="16"/>
        <v>6600</v>
      </c>
      <c r="K21" s="8">
        <v>22.0</v>
      </c>
      <c r="L21" s="15">
        <f t="shared" si="5"/>
        <v>2325</v>
      </c>
      <c r="M21" s="16">
        <f t="shared" si="6"/>
        <v>2</v>
      </c>
      <c r="N21" s="8">
        <v>1.0</v>
      </c>
      <c r="O21" s="17">
        <f t="shared" si="7"/>
        <v>8</v>
      </c>
      <c r="P21" s="18">
        <f t="shared" ref="P21:P40" si="23">I21/H21*100</f>
        <v>100</v>
      </c>
      <c r="Q21" s="19">
        <f t="shared" ref="Q21:Q40" si="24">K21/I21*100</f>
        <v>88</v>
      </c>
      <c r="R21" s="12">
        <f t="shared" ref="R21:R40" si="25">G21/K21</f>
        <v>0</v>
      </c>
      <c r="S21" s="198">
        <f t="shared" si="11"/>
        <v>0</v>
      </c>
      <c r="T21" s="65">
        <v>300.0</v>
      </c>
      <c r="U21" s="28"/>
      <c r="V21" s="3"/>
      <c r="W21" s="3"/>
      <c r="X21" s="3"/>
      <c r="Y21" s="3"/>
      <c r="Z21" s="3"/>
    </row>
    <row r="22">
      <c r="A22" s="5" t="s">
        <v>146</v>
      </c>
      <c r="B22" s="197">
        <v>275801.24</v>
      </c>
      <c r="C22" s="21">
        <f t="shared" si="20"/>
        <v>134343</v>
      </c>
      <c r="D22" s="243"/>
      <c r="E22" s="11">
        <f t="shared" si="21"/>
        <v>0</v>
      </c>
      <c r="F22" s="12">
        <f t="shared" si="22"/>
        <v>0</v>
      </c>
      <c r="G22" s="23"/>
      <c r="H22" s="8">
        <v>354.0</v>
      </c>
      <c r="I22" s="8">
        <v>351.0</v>
      </c>
      <c r="J22" s="14">
        <f t="shared" si="16"/>
        <v>101700</v>
      </c>
      <c r="K22" s="8">
        <v>339.0</v>
      </c>
      <c r="L22" s="15">
        <f t="shared" si="5"/>
        <v>32643</v>
      </c>
      <c r="M22" s="16">
        <f t="shared" si="6"/>
        <v>10</v>
      </c>
      <c r="N22" s="8">
        <v>2.0</v>
      </c>
      <c r="O22" s="17">
        <f t="shared" si="7"/>
        <v>2.849002849</v>
      </c>
      <c r="P22" s="18">
        <f t="shared" si="23"/>
        <v>99.15254237</v>
      </c>
      <c r="Q22" s="19">
        <f t="shared" si="24"/>
        <v>96.58119658</v>
      </c>
      <c r="R22" s="12">
        <f t="shared" si="25"/>
        <v>0</v>
      </c>
      <c r="S22" s="198">
        <f t="shared" si="11"/>
        <v>-0.008474576271</v>
      </c>
      <c r="T22" s="65">
        <v>300.0</v>
      </c>
      <c r="U22" s="28"/>
      <c r="V22" s="3"/>
      <c r="W22" s="156"/>
      <c r="X22" s="3"/>
      <c r="Y22" s="3"/>
      <c r="Z22" s="3"/>
    </row>
    <row r="23">
      <c r="A23" s="5" t="s">
        <v>133</v>
      </c>
      <c r="B23" s="197">
        <v>799.0</v>
      </c>
      <c r="C23" s="21">
        <f t="shared" si="20"/>
        <v>393</v>
      </c>
      <c r="D23" s="243"/>
      <c r="E23" s="11">
        <f t="shared" si="21"/>
        <v>0</v>
      </c>
      <c r="F23" s="12">
        <f t="shared" si="22"/>
        <v>0</v>
      </c>
      <c r="G23" s="23"/>
      <c r="H23" s="8">
        <v>1.0</v>
      </c>
      <c r="I23" s="8">
        <v>1.0</v>
      </c>
      <c r="J23" s="14">
        <f t="shared" si="16"/>
        <v>300</v>
      </c>
      <c r="K23" s="8">
        <v>1.0</v>
      </c>
      <c r="L23" s="15">
        <f t="shared" si="5"/>
        <v>93</v>
      </c>
      <c r="M23" s="16">
        <f t="shared" si="6"/>
        <v>0</v>
      </c>
      <c r="N23" s="13"/>
      <c r="O23" s="17">
        <f t="shared" si="7"/>
        <v>0</v>
      </c>
      <c r="P23" s="18">
        <f t="shared" si="23"/>
        <v>100</v>
      </c>
      <c r="Q23" s="19">
        <f t="shared" si="24"/>
        <v>100</v>
      </c>
      <c r="R23" s="12">
        <f t="shared" si="25"/>
        <v>0</v>
      </c>
      <c r="S23" s="198">
        <f t="shared" si="11"/>
        <v>0</v>
      </c>
      <c r="T23" s="65">
        <v>300.0</v>
      </c>
      <c r="U23" s="28"/>
      <c r="V23" s="3"/>
      <c r="W23" s="156"/>
      <c r="X23" s="3"/>
      <c r="Y23" s="3"/>
      <c r="Z23" s="3"/>
    </row>
    <row r="24">
      <c r="A24" s="5" t="s">
        <v>134</v>
      </c>
      <c r="B24" s="197">
        <v>123139.25</v>
      </c>
      <c r="C24" s="21">
        <f t="shared" si="20"/>
        <v>67452</v>
      </c>
      <c r="D24" s="243"/>
      <c r="E24" s="11">
        <f t="shared" si="21"/>
        <v>0</v>
      </c>
      <c r="F24" s="12">
        <f t="shared" si="22"/>
        <v>0</v>
      </c>
      <c r="G24" s="23"/>
      <c r="H24" s="8">
        <v>45.0</v>
      </c>
      <c r="I24" s="8">
        <v>44.0</v>
      </c>
      <c r="J24" s="14">
        <f t="shared" si="16"/>
        <v>63360</v>
      </c>
      <c r="K24" s="8">
        <v>44.0</v>
      </c>
      <c r="L24" s="15">
        <f t="shared" si="5"/>
        <v>4092</v>
      </c>
      <c r="M24" s="16">
        <f t="shared" si="6"/>
        <v>0</v>
      </c>
      <c r="N24" s="13"/>
      <c r="O24" s="17">
        <f t="shared" si="7"/>
        <v>0</v>
      </c>
      <c r="P24" s="18">
        <f t="shared" si="23"/>
        <v>97.77777778</v>
      </c>
      <c r="Q24" s="19">
        <f t="shared" si="24"/>
        <v>100</v>
      </c>
      <c r="R24" s="12">
        <f t="shared" si="25"/>
        <v>0</v>
      </c>
      <c r="S24" s="198">
        <f t="shared" si="11"/>
        <v>-0.02222222222</v>
      </c>
      <c r="T24" s="65">
        <v>1440.0</v>
      </c>
      <c r="U24" s="28"/>
      <c r="V24" s="3"/>
      <c r="W24" s="3"/>
      <c r="X24" s="3"/>
      <c r="Y24" s="3"/>
      <c r="Z24" s="3"/>
    </row>
    <row r="25">
      <c r="A25" s="5" t="s">
        <v>135</v>
      </c>
      <c r="B25" s="197">
        <v>154823.98</v>
      </c>
      <c r="C25" s="21">
        <f t="shared" si="20"/>
        <v>105652</v>
      </c>
      <c r="D25" s="243"/>
      <c r="E25" s="11">
        <f t="shared" si="21"/>
        <v>0</v>
      </c>
      <c r="F25" s="12">
        <f t="shared" si="22"/>
        <v>0</v>
      </c>
      <c r="G25" s="23"/>
      <c r="H25" s="8">
        <v>61.0</v>
      </c>
      <c r="I25" s="8">
        <v>60.0</v>
      </c>
      <c r="J25" s="14">
        <f t="shared" si="16"/>
        <v>100072</v>
      </c>
      <c r="K25" s="8">
        <v>56.0</v>
      </c>
      <c r="L25" s="15">
        <f t="shared" si="5"/>
        <v>5580</v>
      </c>
      <c r="M25" s="16">
        <f t="shared" si="6"/>
        <v>2</v>
      </c>
      <c r="N25" s="8">
        <v>2.0</v>
      </c>
      <c r="O25" s="17">
        <f t="shared" si="7"/>
        <v>3.333333333</v>
      </c>
      <c r="P25" s="18">
        <f t="shared" si="23"/>
        <v>98.36065574</v>
      </c>
      <c r="Q25" s="19">
        <f t="shared" si="24"/>
        <v>93.33333333</v>
      </c>
      <c r="R25" s="12">
        <f t="shared" si="25"/>
        <v>0</v>
      </c>
      <c r="S25" s="198">
        <f t="shared" si="11"/>
        <v>-0.01639344262</v>
      </c>
      <c r="T25" s="65">
        <v>1787.0</v>
      </c>
      <c r="U25" s="28"/>
      <c r="V25" s="3"/>
      <c r="W25" s="3"/>
      <c r="X25" s="3"/>
      <c r="Y25" s="3"/>
      <c r="Z25" s="3"/>
    </row>
    <row r="26">
      <c r="A26" s="5" t="s">
        <v>136</v>
      </c>
      <c r="B26" s="197">
        <v>0.0</v>
      </c>
      <c r="C26" s="21">
        <f t="shared" si="20"/>
        <v>0</v>
      </c>
      <c r="D26" s="243"/>
      <c r="E26" s="11" t="str">
        <f t="shared" si="21"/>
        <v>#DIV/0!</v>
      </c>
      <c r="F26" s="12" t="str">
        <f t="shared" si="22"/>
        <v>#DIV/0!</v>
      </c>
      <c r="G26" s="23"/>
      <c r="H26" s="8">
        <v>0.0</v>
      </c>
      <c r="I26" s="8">
        <v>0.0</v>
      </c>
      <c r="J26" s="14">
        <f t="shared" si="16"/>
        <v>0</v>
      </c>
      <c r="K26" s="8">
        <v>0.0</v>
      </c>
      <c r="L26" s="15">
        <f t="shared" si="5"/>
        <v>0</v>
      </c>
      <c r="M26" s="16">
        <f t="shared" si="6"/>
        <v>0</v>
      </c>
      <c r="N26" s="13"/>
      <c r="O26" s="17">
        <f t="shared" si="7"/>
        <v>0</v>
      </c>
      <c r="P26" s="18" t="str">
        <f t="shared" si="23"/>
        <v>#DIV/0!</v>
      </c>
      <c r="Q26" s="19" t="str">
        <f t="shared" si="24"/>
        <v>#DIV/0!</v>
      </c>
      <c r="R26" s="12" t="str">
        <f t="shared" si="25"/>
        <v>#DIV/0!</v>
      </c>
      <c r="S26" s="198" t="str">
        <f t="shared" si="11"/>
        <v>#DIV/0!</v>
      </c>
      <c r="T26" s="65">
        <v>619.0</v>
      </c>
      <c r="U26" s="28"/>
      <c r="V26" s="3"/>
      <c r="W26" s="3"/>
      <c r="X26" s="3"/>
      <c r="Y26" s="3"/>
      <c r="Z26" s="3"/>
    </row>
    <row r="27">
      <c r="A27" s="5" t="s">
        <v>137</v>
      </c>
      <c r="B27" s="197">
        <v>20528.55</v>
      </c>
      <c r="C27" s="21">
        <f t="shared" si="20"/>
        <v>8542</v>
      </c>
      <c r="D27" s="243"/>
      <c r="E27" s="11">
        <f t="shared" si="21"/>
        <v>0</v>
      </c>
      <c r="F27" s="12">
        <f t="shared" si="22"/>
        <v>0</v>
      </c>
      <c r="G27" s="23"/>
      <c r="H27" s="8">
        <v>18.0</v>
      </c>
      <c r="I27" s="8">
        <v>18.0</v>
      </c>
      <c r="J27" s="14">
        <f t="shared" si="16"/>
        <v>6868</v>
      </c>
      <c r="K27" s="8">
        <v>17.0</v>
      </c>
      <c r="L27" s="15">
        <f t="shared" si="5"/>
        <v>1674</v>
      </c>
      <c r="M27" s="16">
        <f t="shared" si="6"/>
        <v>1</v>
      </c>
      <c r="N27" s="13"/>
      <c r="O27" s="17">
        <f t="shared" si="7"/>
        <v>5.555555556</v>
      </c>
      <c r="P27" s="18">
        <f t="shared" si="23"/>
        <v>100</v>
      </c>
      <c r="Q27" s="19">
        <f t="shared" si="24"/>
        <v>94.44444444</v>
      </c>
      <c r="R27" s="12">
        <f t="shared" si="25"/>
        <v>0</v>
      </c>
      <c r="S27" s="198">
        <f t="shared" si="11"/>
        <v>0</v>
      </c>
      <c r="T27" s="65">
        <v>404.0</v>
      </c>
      <c r="U27" s="28"/>
      <c r="V27" s="3"/>
      <c r="W27" s="3"/>
      <c r="X27" s="3"/>
      <c r="Y27" s="3"/>
      <c r="Z27" s="3"/>
    </row>
    <row r="28">
      <c r="A28" s="5" t="s">
        <v>138</v>
      </c>
      <c r="B28" s="197">
        <v>0.0</v>
      </c>
      <c r="C28" s="21">
        <f t="shared" si="20"/>
        <v>0</v>
      </c>
      <c r="D28" s="243"/>
      <c r="E28" s="11" t="str">
        <f t="shared" si="21"/>
        <v>#DIV/0!</v>
      </c>
      <c r="F28" s="12" t="str">
        <f t="shared" si="22"/>
        <v>#DIV/0!</v>
      </c>
      <c r="G28" s="23"/>
      <c r="H28" s="8">
        <v>0.0</v>
      </c>
      <c r="I28" s="8">
        <v>0.0</v>
      </c>
      <c r="J28" s="14">
        <f t="shared" si="16"/>
        <v>0</v>
      </c>
      <c r="K28" s="8">
        <v>0.0</v>
      </c>
      <c r="L28" s="15">
        <f t="shared" si="5"/>
        <v>0</v>
      </c>
      <c r="M28" s="16">
        <f t="shared" si="6"/>
        <v>0</v>
      </c>
      <c r="N28" s="13"/>
      <c r="O28" s="17">
        <f t="shared" si="7"/>
        <v>0</v>
      </c>
      <c r="P28" s="18" t="str">
        <f t="shared" si="23"/>
        <v>#DIV/0!</v>
      </c>
      <c r="Q28" s="19" t="str">
        <f t="shared" si="24"/>
        <v>#DIV/0!</v>
      </c>
      <c r="R28" s="12" t="str">
        <f t="shared" si="25"/>
        <v>#DIV/0!</v>
      </c>
      <c r="S28" s="198" t="str">
        <f t="shared" si="11"/>
        <v>#DIV/0!</v>
      </c>
      <c r="T28" s="65">
        <v>655.0</v>
      </c>
      <c r="U28" s="28"/>
      <c r="V28" s="3"/>
      <c r="W28" s="3"/>
      <c r="X28" s="3"/>
      <c r="Y28" s="3"/>
      <c r="Z28" s="3"/>
    </row>
    <row r="29">
      <c r="A29" s="5" t="s">
        <v>35</v>
      </c>
      <c r="B29" s="197">
        <v>22483.43</v>
      </c>
      <c r="C29" s="21">
        <f t="shared" si="20"/>
        <v>7755</v>
      </c>
      <c r="D29" s="243"/>
      <c r="E29" s="11">
        <f t="shared" si="21"/>
        <v>0</v>
      </c>
      <c r="F29" s="12">
        <f t="shared" si="22"/>
        <v>0</v>
      </c>
      <c r="G29" s="23"/>
      <c r="H29" s="8">
        <v>11.0</v>
      </c>
      <c r="I29" s="8">
        <v>11.0</v>
      </c>
      <c r="J29" s="14">
        <f t="shared" si="16"/>
        <v>6732</v>
      </c>
      <c r="K29" s="8">
        <v>11.0</v>
      </c>
      <c r="L29" s="15">
        <f t="shared" si="5"/>
        <v>1023</v>
      </c>
      <c r="M29" s="16">
        <f t="shared" si="6"/>
        <v>0</v>
      </c>
      <c r="N29" s="13"/>
      <c r="O29" s="17">
        <f t="shared" si="7"/>
        <v>0</v>
      </c>
      <c r="P29" s="18">
        <f t="shared" si="23"/>
        <v>100</v>
      </c>
      <c r="Q29" s="19">
        <f t="shared" si="24"/>
        <v>100</v>
      </c>
      <c r="R29" s="12">
        <f t="shared" si="25"/>
        <v>0</v>
      </c>
      <c r="S29" s="198">
        <f t="shared" si="11"/>
        <v>0</v>
      </c>
      <c r="T29" s="65">
        <v>612.0</v>
      </c>
      <c r="U29" s="28"/>
      <c r="V29" s="3"/>
      <c r="W29" s="3"/>
      <c r="X29" s="3"/>
      <c r="Y29" s="3"/>
      <c r="Z29" s="3"/>
    </row>
    <row r="30">
      <c r="A30" s="5" t="s">
        <v>139</v>
      </c>
      <c r="B30" s="197">
        <v>0.0</v>
      </c>
      <c r="C30" s="21">
        <f t="shared" si="20"/>
        <v>0</v>
      </c>
      <c r="D30" s="243"/>
      <c r="E30" s="11" t="str">
        <f t="shared" si="21"/>
        <v>#DIV/0!</v>
      </c>
      <c r="F30" s="12" t="str">
        <f t="shared" si="22"/>
        <v>#DIV/0!</v>
      </c>
      <c r="G30" s="23"/>
      <c r="H30" s="8">
        <v>0.0</v>
      </c>
      <c r="I30" s="8">
        <v>0.0</v>
      </c>
      <c r="J30" s="14">
        <f t="shared" si="16"/>
        <v>0</v>
      </c>
      <c r="K30" s="8">
        <v>0.0</v>
      </c>
      <c r="L30" s="15">
        <f t="shared" si="5"/>
        <v>0</v>
      </c>
      <c r="M30" s="16">
        <f t="shared" si="6"/>
        <v>0</v>
      </c>
      <c r="N30" s="13"/>
      <c r="O30" s="17">
        <f t="shared" si="7"/>
        <v>0</v>
      </c>
      <c r="P30" s="18" t="str">
        <f t="shared" si="23"/>
        <v>#DIV/0!</v>
      </c>
      <c r="Q30" s="19" t="str">
        <f t="shared" si="24"/>
        <v>#DIV/0!</v>
      </c>
      <c r="R30" s="12" t="str">
        <f t="shared" si="25"/>
        <v>#DIV/0!</v>
      </c>
      <c r="S30" s="198" t="str">
        <f t="shared" si="11"/>
        <v>#DIV/0!</v>
      </c>
      <c r="T30" s="65">
        <v>743.0</v>
      </c>
      <c r="U30" s="28"/>
      <c r="V30" s="3"/>
      <c r="W30" s="3"/>
      <c r="X30" s="3"/>
      <c r="Y30" s="3"/>
      <c r="Z30" s="3"/>
    </row>
    <row r="31">
      <c r="A31" s="5" t="s">
        <v>140</v>
      </c>
      <c r="B31" s="197">
        <v>0.0</v>
      </c>
      <c r="C31" s="21">
        <f t="shared" si="20"/>
        <v>0</v>
      </c>
      <c r="D31" s="243"/>
      <c r="E31" s="11" t="str">
        <f t="shared" si="21"/>
        <v>#DIV/0!</v>
      </c>
      <c r="F31" s="12" t="str">
        <f t="shared" si="22"/>
        <v>#DIV/0!</v>
      </c>
      <c r="G31" s="23"/>
      <c r="H31" s="8">
        <v>0.0</v>
      </c>
      <c r="I31" s="8">
        <v>0.0</v>
      </c>
      <c r="J31" s="14">
        <f t="shared" si="16"/>
        <v>0</v>
      </c>
      <c r="K31" s="8">
        <v>0.0</v>
      </c>
      <c r="L31" s="15">
        <f t="shared" si="5"/>
        <v>0</v>
      </c>
      <c r="M31" s="16">
        <f t="shared" si="6"/>
        <v>0</v>
      </c>
      <c r="N31" s="13"/>
      <c r="O31" s="17">
        <f t="shared" si="7"/>
        <v>0</v>
      </c>
      <c r="P31" s="18" t="str">
        <f t="shared" si="23"/>
        <v>#DIV/0!</v>
      </c>
      <c r="Q31" s="19" t="str">
        <f t="shared" si="24"/>
        <v>#DIV/0!</v>
      </c>
      <c r="R31" s="12" t="str">
        <f t="shared" si="25"/>
        <v>#DIV/0!</v>
      </c>
      <c r="S31" s="198" t="str">
        <f t="shared" si="11"/>
        <v>#DIV/0!</v>
      </c>
      <c r="T31" s="65">
        <v>739.0</v>
      </c>
      <c r="U31" s="28"/>
      <c r="V31" s="3"/>
      <c r="W31" s="3"/>
      <c r="X31" s="3"/>
      <c r="Y31" s="3"/>
      <c r="Z31" s="3"/>
    </row>
    <row r="32">
      <c r="A32" s="5" t="s">
        <v>141</v>
      </c>
      <c r="B32" s="197">
        <v>42094.8</v>
      </c>
      <c r="C32" s="21">
        <f t="shared" si="20"/>
        <v>12957</v>
      </c>
      <c r="D32" s="243"/>
      <c r="E32" s="11">
        <f t="shared" si="21"/>
        <v>0</v>
      </c>
      <c r="F32" s="12">
        <f t="shared" si="22"/>
        <v>0</v>
      </c>
      <c r="G32" s="23"/>
      <c r="H32" s="8">
        <v>21.0</v>
      </c>
      <c r="I32" s="8">
        <v>21.0</v>
      </c>
      <c r="J32" s="14">
        <f t="shared" si="16"/>
        <v>11004</v>
      </c>
      <c r="K32" s="8">
        <v>21.0</v>
      </c>
      <c r="L32" s="15">
        <f t="shared" si="5"/>
        <v>1953</v>
      </c>
      <c r="M32" s="328">
        <f t="shared" si="6"/>
        <v>0</v>
      </c>
      <c r="N32" s="13"/>
      <c r="O32" s="17">
        <f t="shared" si="7"/>
        <v>0</v>
      </c>
      <c r="P32" s="18">
        <f t="shared" si="23"/>
        <v>100</v>
      </c>
      <c r="Q32" s="19">
        <f t="shared" si="24"/>
        <v>100</v>
      </c>
      <c r="R32" s="12">
        <f t="shared" si="25"/>
        <v>0</v>
      </c>
      <c r="S32" s="198">
        <f t="shared" si="11"/>
        <v>0</v>
      </c>
      <c r="T32" s="65">
        <v>524.0</v>
      </c>
      <c r="U32" s="28"/>
      <c r="V32" s="3"/>
      <c r="W32" s="3"/>
      <c r="X32" s="3"/>
      <c r="Y32" s="3"/>
      <c r="Z32" s="3"/>
    </row>
    <row r="33">
      <c r="A33" s="5" t="s">
        <v>36</v>
      </c>
      <c r="B33" s="197">
        <v>7446.0</v>
      </c>
      <c r="C33" s="21">
        <f t="shared" si="20"/>
        <v>2340</v>
      </c>
      <c r="D33" s="243"/>
      <c r="E33" s="11">
        <f t="shared" si="21"/>
        <v>0</v>
      </c>
      <c r="F33" s="12">
        <f t="shared" si="22"/>
        <v>0</v>
      </c>
      <c r="G33" s="23"/>
      <c r="H33" s="8">
        <v>4.0</v>
      </c>
      <c r="I33" s="8">
        <v>4.0</v>
      </c>
      <c r="J33" s="14">
        <f t="shared" si="16"/>
        <v>1968</v>
      </c>
      <c r="K33" s="8">
        <v>4.0</v>
      </c>
      <c r="L33" s="15">
        <f t="shared" si="5"/>
        <v>372</v>
      </c>
      <c r="M33" s="328">
        <f t="shared" si="6"/>
        <v>0</v>
      </c>
      <c r="N33" s="13"/>
      <c r="O33" s="17">
        <f t="shared" si="7"/>
        <v>0</v>
      </c>
      <c r="P33" s="18">
        <f t="shared" si="23"/>
        <v>100</v>
      </c>
      <c r="Q33" s="19">
        <f t="shared" si="24"/>
        <v>100</v>
      </c>
      <c r="R33" s="12">
        <f t="shared" si="25"/>
        <v>0</v>
      </c>
      <c r="S33" s="198">
        <f t="shared" si="11"/>
        <v>0</v>
      </c>
      <c r="T33" s="65">
        <v>492.0</v>
      </c>
      <c r="U33" s="28"/>
      <c r="V33" s="3"/>
      <c r="W33" s="3"/>
      <c r="X33" s="3"/>
      <c r="Y33" s="3"/>
      <c r="Z33" s="3"/>
    </row>
    <row r="34">
      <c r="A34" s="199" t="s">
        <v>142</v>
      </c>
      <c r="B34" s="197">
        <v>13118.82</v>
      </c>
      <c r="C34" s="21">
        <f t="shared" si="20"/>
        <v>5229</v>
      </c>
      <c r="D34" s="243"/>
      <c r="E34" s="11">
        <f t="shared" si="21"/>
        <v>0</v>
      </c>
      <c r="F34" s="12">
        <f t="shared" si="22"/>
        <v>0</v>
      </c>
      <c r="G34" s="23"/>
      <c r="H34" s="197">
        <v>9.0</v>
      </c>
      <c r="I34" s="197">
        <v>9.0</v>
      </c>
      <c r="J34" s="200">
        <f t="shared" si="16"/>
        <v>4392</v>
      </c>
      <c r="K34" s="197">
        <v>9.0</v>
      </c>
      <c r="L34" s="201">
        <f t="shared" si="5"/>
        <v>837</v>
      </c>
      <c r="M34" s="328">
        <f t="shared" si="6"/>
        <v>0</v>
      </c>
      <c r="N34" s="23"/>
      <c r="O34" s="17">
        <f t="shared" si="7"/>
        <v>0</v>
      </c>
      <c r="P34" s="18">
        <f t="shared" si="23"/>
        <v>100</v>
      </c>
      <c r="Q34" s="19">
        <f t="shared" si="24"/>
        <v>100</v>
      </c>
      <c r="R34" s="12">
        <f t="shared" si="25"/>
        <v>0</v>
      </c>
      <c r="S34" s="198">
        <f t="shared" si="11"/>
        <v>0</v>
      </c>
      <c r="T34" s="183">
        <v>488.0</v>
      </c>
      <c r="U34" s="178"/>
      <c r="V34" s="37"/>
      <c r="W34" s="37"/>
      <c r="X34" s="37"/>
      <c r="Y34" s="37"/>
      <c r="Z34" s="37"/>
    </row>
    <row r="35">
      <c r="A35" s="199" t="s">
        <v>184</v>
      </c>
      <c r="B35" s="197">
        <v>128700.87</v>
      </c>
      <c r="C35" s="21">
        <f t="shared" si="20"/>
        <v>28655</v>
      </c>
      <c r="D35" s="243"/>
      <c r="E35" s="11">
        <f t="shared" si="21"/>
        <v>0</v>
      </c>
      <c r="F35" s="12">
        <f t="shared" si="22"/>
        <v>0</v>
      </c>
      <c r="G35" s="23"/>
      <c r="H35" s="8">
        <v>51.0</v>
      </c>
      <c r="I35" s="8">
        <v>51.0</v>
      </c>
      <c r="J35" s="14">
        <f t="shared" si="16"/>
        <v>23912</v>
      </c>
      <c r="K35" s="8">
        <v>49.0</v>
      </c>
      <c r="L35" s="15">
        <f t="shared" si="5"/>
        <v>4743</v>
      </c>
      <c r="M35" s="328">
        <f t="shared" si="6"/>
        <v>2</v>
      </c>
      <c r="N35" s="13"/>
      <c r="O35" s="17">
        <f t="shared" si="7"/>
        <v>3.921568627</v>
      </c>
      <c r="P35" s="18">
        <f t="shared" si="23"/>
        <v>100</v>
      </c>
      <c r="Q35" s="19">
        <f t="shared" si="24"/>
        <v>96.07843137</v>
      </c>
      <c r="R35" s="12">
        <f t="shared" si="25"/>
        <v>0</v>
      </c>
      <c r="S35" s="198">
        <f t="shared" si="11"/>
        <v>0</v>
      </c>
      <c r="T35" s="65">
        <v>488.0</v>
      </c>
      <c r="U35" s="3"/>
      <c r="V35" s="3"/>
      <c r="W35" s="156"/>
      <c r="X35" s="3"/>
      <c r="Y35" s="3"/>
      <c r="Z35" s="3"/>
    </row>
    <row r="36">
      <c r="A36" s="199" t="s">
        <v>187</v>
      </c>
      <c r="B36" s="197">
        <v>260377.27</v>
      </c>
      <c r="C36" s="21">
        <f t="shared" si="20"/>
        <v>153419</v>
      </c>
      <c r="D36" s="243"/>
      <c r="E36" s="11">
        <f t="shared" si="21"/>
        <v>0</v>
      </c>
      <c r="F36" s="12">
        <f t="shared" si="22"/>
        <v>0</v>
      </c>
      <c r="G36" s="23"/>
      <c r="H36" s="8">
        <v>233.0</v>
      </c>
      <c r="I36" s="8">
        <v>231.0</v>
      </c>
      <c r="J36" s="14">
        <f t="shared" si="16"/>
        <v>131936</v>
      </c>
      <c r="K36" s="8">
        <v>217.0</v>
      </c>
      <c r="L36" s="15">
        <f t="shared" si="5"/>
        <v>21483</v>
      </c>
      <c r="M36" s="328">
        <f t="shared" si="6"/>
        <v>12</v>
      </c>
      <c r="N36" s="8">
        <v>2.0</v>
      </c>
      <c r="O36" s="17">
        <f t="shared" si="7"/>
        <v>5.194805195</v>
      </c>
      <c r="P36" s="18">
        <f t="shared" si="23"/>
        <v>99.1416309</v>
      </c>
      <c r="Q36" s="19">
        <f t="shared" si="24"/>
        <v>93.93939394</v>
      </c>
      <c r="R36" s="12">
        <f t="shared" si="25"/>
        <v>0</v>
      </c>
      <c r="S36" s="198">
        <f t="shared" si="11"/>
        <v>-0.008583690987</v>
      </c>
      <c r="T36" s="65">
        <v>608.0</v>
      </c>
      <c r="U36" s="3"/>
      <c r="V36" s="3"/>
      <c r="W36" s="156"/>
      <c r="X36" s="3"/>
      <c r="Y36" s="3"/>
      <c r="Z36" s="3"/>
    </row>
    <row r="37">
      <c r="A37" s="199" t="s">
        <v>188</v>
      </c>
      <c r="B37" s="197">
        <v>25050.0</v>
      </c>
      <c r="C37" s="21">
        <f t="shared" si="20"/>
        <v>14565</v>
      </c>
      <c r="D37" s="243"/>
      <c r="E37" s="11">
        <f t="shared" si="21"/>
        <v>0</v>
      </c>
      <c r="F37" s="12">
        <f t="shared" si="22"/>
        <v>0</v>
      </c>
      <c r="G37" s="23"/>
      <c r="H37" s="8">
        <v>46.0</v>
      </c>
      <c r="I37" s="8">
        <v>35.0</v>
      </c>
      <c r="J37" s="329">
        <f t="shared" si="16"/>
        <v>11310</v>
      </c>
      <c r="K37" s="174">
        <v>29.0</v>
      </c>
      <c r="L37" s="15">
        <f t="shared" si="5"/>
        <v>3255</v>
      </c>
      <c r="M37" s="328">
        <f t="shared" si="6"/>
        <v>4</v>
      </c>
      <c r="N37" s="8">
        <v>2.0</v>
      </c>
      <c r="O37" s="17">
        <f t="shared" si="7"/>
        <v>11.42857143</v>
      </c>
      <c r="P37" s="18">
        <f t="shared" si="23"/>
        <v>76.08695652</v>
      </c>
      <c r="Q37" s="19">
        <f t="shared" si="24"/>
        <v>82.85714286</v>
      </c>
      <c r="R37" s="12">
        <f t="shared" si="25"/>
        <v>0</v>
      </c>
      <c r="S37" s="198">
        <f t="shared" si="11"/>
        <v>-0.2391304348</v>
      </c>
      <c r="T37" s="65">
        <v>390.0</v>
      </c>
      <c r="U37" s="3"/>
      <c r="V37" s="3"/>
      <c r="W37" s="156"/>
      <c r="X37" s="3"/>
      <c r="Y37" s="3"/>
      <c r="Z37" s="3"/>
    </row>
    <row r="38">
      <c r="A38" s="199" t="s">
        <v>189</v>
      </c>
      <c r="B38" s="197">
        <v>0.0</v>
      </c>
      <c r="C38" s="21">
        <f t="shared" si="20"/>
        <v>0</v>
      </c>
      <c r="D38" s="243"/>
      <c r="E38" s="11" t="str">
        <f t="shared" si="21"/>
        <v>#DIV/0!</v>
      </c>
      <c r="F38" s="12" t="str">
        <f t="shared" si="22"/>
        <v>#DIV/0!</v>
      </c>
      <c r="G38" s="23"/>
      <c r="H38" s="8">
        <v>24.0</v>
      </c>
      <c r="I38" s="8">
        <v>0.0</v>
      </c>
      <c r="J38" s="329">
        <f t="shared" si="16"/>
        <v>0</v>
      </c>
      <c r="K38" s="174">
        <v>0.0</v>
      </c>
      <c r="L38" s="15">
        <f t="shared" si="5"/>
        <v>0</v>
      </c>
      <c r="M38" s="328">
        <f t="shared" si="6"/>
        <v>0</v>
      </c>
      <c r="N38" s="13"/>
      <c r="O38" s="17">
        <f t="shared" si="7"/>
        <v>0</v>
      </c>
      <c r="P38" s="18">
        <f t="shared" si="23"/>
        <v>0</v>
      </c>
      <c r="Q38" s="19" t="str">
        <f t="shared" si="24"/>
        <v>#DIV/0!</v>
      </c>
      <c r="R38" s="12" t="str">
        <f t="shared" si="25"/>
        <v>#DIV/0!</v>
      </c>
      <c r="S38" s="198">
        <f t="shared" si="11"/>
        <v>-1</v>
      </c>
      <c r="T38" s="65">
        <v>390.0</v>
      </c>
      <c r="U38" s="3"/>
      <c r="V38" s="3"/>
      <c r="W38" s="156"/>
      <c r="X38" s="3"/>
      <c r="Y38" s="3"/>
      <c r="Z38" s="3"/>
    </row>
    <row r="39">
      <c r="A39" s="199" t="s">
        <v>190</v>
      </c>
      <c r="B39" s="197">
        <v>14566.97</v>
      </c>
      <c r="C39" s="21">
        <f t="shared" si="20"/>
        <v>7245</v>
      </c>
      <c r="D39" s="243"/>
      <c r="E39" s="11">
        <f t="shared" si="21"/>
        <v>0</v>
      </c>
      <c r="F39" s="12">
        <f t="shared" si="22"/>
        <v>0</v>
      </c>
      <c r="G39" s="23"/>
      <c r="H39" s="197">
        <v>16.0</v>
      </c>
      <c r="I39" s="8">
        <v>15.0</v>
      </c>
      <c r="J39" s="329">
        <f t="shared" si="16"/>
        <v>5850</v>
      </c>
      <c r="K39" s="174">
        <v>13.0</v>
      </c>
      <c r="L39" s="15">
        <f t="shared" si="5"/>
        <v>1395</v>
      </c>
      <c r="M39" s="328">
        <f t="shared" si="6"/>
        <v>1</v>
      </c>
      <c r="N39" s="8">
        <v>1.0</v>
      </c>
      <c r="O39" s="17">
        <f t="shared" si="7"/>
        <v>6.666666667</v>
      </c>
      <c r="P39" s="18">
        <f t="shared" si="23"/>
        <v>93.75</v>
      </c>
      <c r="Q39" s="19">
        <f t="shared" si="24"/>
        <v>86.66666667</v>
      </c>
      <c r="R39" s="12">
        <f t="shared" si="25"/>
        <v>0</v>
      </c>
      <c r="S39" s="198">
        <f t="shared" si="11"/>
        <v>-0.0625</v>
      </c>
      <c r="T39" s="65">
        <v>450.0</v>
      </c>
      <c r="U39" s="3"/>
      <c r="V39" s="3"/>
      <c r="W39" s="156"/>
      <c r="X39" s="3"/>
      <c r="Y39" s="3"/>
      <c r="Z39" s="3"/>
    </row>
    <row r="40">
      <c r="A40" s="199" t="s">
        <v>191</v>
      </c>
      <c r="B40" s="197">
        <v>90774.07</v>
      </c>
      <c r="C40" s="21">
        <f t="shared" si="20"/>
        <v>57591</v>
      </c>
      <c r="D40" s="243"/>
      <c r="E40" s="11">
        <f t="shared" si="21"/>
        <v>0</v>
      </c>
      <c r="F40" s="12">
        <f t="shared" si="22"/>
        <v>0</v>
      </c>
      <c r="G40" s="23"/>
      <c r="H40" s="174">
        <v>102.0</v>
      </c>
      <c r="I40" s="8">
        <v>87.0</v>
      </c>
      <c r="J40" s="329">
        <f t="shared" si="16"/>
        <v>49500</v>
      </c>
      <c r="K40" s="174">
        <v>66.0</v>
      </c>
      <c r="L40" s="15">
        <f t="shared" si="5"/>
        <v>8091</v>
      </c>
      <c r="M40" s="328">
        <f t="shared" si="6"/>
        <v>16</v>
      </c>
      <c r="N40" s="8">
        <v>5.0</v>
      </c>
      <c r="O40" s="17">
        <f t="shared" si="7"/>
        <v>18.3908046</v>
      </c>
      <c r="P40" s="18">
        <f t="shared" si="23"/>
        <v>85.29411765</v>
      </c>
      <c r="Q40" s="19">
        <f t="shared" si="24"/>
        <v>75.86206897</v>
      </c>
      <c r="R40" s="12">
        <f t="shared" si="25"/>
        <v>0</v>
      </c>
      <c r="S40" s="198">
        <f t="shared" si="11"/>
        <v>-0.1470588235</v>
      </c>
      <c r="T40" s="65">
        <v>750.0</v>
      </c>
      <c r="U40" s="3"/>
      <c r="V40" s="3"/>
      <c r="W40" s="156"/>
      <c r="X40" s="3"/>
      <c r="Y40" s="3"/>
      <c r="Z40" s="3"/>
    </row>
    <row r="41">
      <c r="A41" s="24" t="s">
        <v>38</v>
      </c>
      <c r="B41" s="179">
        <f>SUM(B3:B40)+377000</f>
        <v>6158707.19</v>
      </c>
      <c r="C41" s="330"/>
      <c r="D41" s="25"/>
      <c r="E41" s="26"/>
      <c r="F41" s="26"/>
      <c r="G41" s="331">
        <v>3615161.0</v>
      </c>
      <c r="H41" s="332">
        <f>SUM(H4:H40)</f>
        <v>5592</v>
      </c>
      <c r="I41" s="25">
        <f>SUM(I4:I35)</f>
        <v>5104</v>
      </c>
      <c r="J41" s="29">
        <f>SUM(J4:J40)+131000</f>
        <v>2357604</v>
      </c>
      <c r="K41" s="332">
        <f>SUM(K4:K40)</f>
        <v>4898</v>
      </c>
      <c r="L41" s="177">
        <f t="shared" ref="L41:N41" si="26">SUM(L4:L35)</f>
        <v>474672</v>
      </c>
      <c r="M41" s="25">
        <f t="shared" si="26"/>
        <v>457</v>
      </c>
      <c r="N41" s="25">
        <f t="shared" si="26"/>
        <v>74</v>
      </c>
      <c r="O41" s="198">
        <f>M41/K41</f>
        <v>0.09330338914</v>
      </c>
      <c r="P41" s="203">
        <f>I41/H41</f>
        <v>0.912732475</v>
      </c>
      <c r="Q41" s="203">
        <f>K41/H41</f>
        <v>0.8758941345</v>
      </c>
      <c r="R41" s="29" t="str">
        <f>SUM(R4:R34)</f>
        <v>#DIV/0!</v>
      </c>
      <c r="S41" s="198">
        <f t="shared" si="11"/>
        <v>-0.08726752504</v>
      </c>
      <c r="T41" s="28"/>
      <c r="U41" s="3"/>
      <c r="V41" s="3"/>
      <c r="W41" s="156"/>
      <c r="X41" s="3"/>
      <c r="Y41" s="3"/>
      <c r="Z41" s="3"/>
    </row>
    <row r="42">
      <c r="A42" s="3"/>
      <c r="B42" s="37"/>
      <c r="C42" s="35"/>
      <c r="D42" s="3"/>
      <c r="E42" s="37"/>
      <c r="F42" s="205"/>
      <c r="G42" s="37"/>
      <c r="H42" s="204"/>
      <c r="I42" s="3"/>
      <c r="J42" s="205"/>
      <c r="K42" s="204"/>
      <c r="L42" s="3"/>
      <c r="M42" s="205"/>
      <c r="N42" s="3"/>
      <c r="O42" s="205"/>
      <c r="P42" s="3"/>
      <c r="Q42" s="3"/>
      <c r="R42" s="3"/>
      <c r="S42" s="3"/>
      <c r="T42" s="3"/>
      <c r="U42" s="3"/>
      <c r="V42" s="3"/>
      <c r="W42" s="156"/>
      <c r="X42" s="3"/>
      <c r="Y42" s="3"/>
      <c r="Z42" s="3"/>
    </row>
    <row r="43">
      <c r="A43" s="3"/>
      <c r="B43" s="37"/>
      <c r="C43" s="333"/>
      <c r="D43" s="3"/>
      <c r="E43" s="37"/>
      <c r="F43" s="35"/>
      <c r="G43" s="37"/>
      <c r="H43" s="3"/>
      <c r="I43" s="3"/>
      <c r="J43" s="35"/>
      <c r="K43" s="204"/>
      <c r="L43" s="3"/>
      <c r="M43" s="3"/>
      <c r="N43" s="41"/>
      <c r="O43" s="61">
        <f>N41/H41</f>
        <v>0.01323319027</v>
      </c>
      <c r="P43" s="3"/>
      <c r="Q43" s="3"/>
      <c r="R43" s="3"/>
      <c r="S43" s="3"/>
      <c r="T43" s="3"/>
      <c r="U43" s="3"/>
      <c r="V43" s="3"/>
      <c r="W43" s="156"/>
      <c r="X43" s="3"/>
      <c r="Y43" s="3"/>
      <c r="Z43" s="3"/>
    </row>
    <row r="44">
      <c r="A44" s="3"/>
      <c r="B44" s="37"/>
      <c r="C44" s="35"/>
      <c r="D44" s="30" t="s">
        <v>39</v>
      </c>
      <c r="E44" s="37"/>
      <c r="F44" s="35"/>
      <c r="G44" s="205"/>
      <c r="H44" s="316"/>
      <c r="I44" s="157"/>
      <c r="J44" s="160"/>
      <c r="K44" s="161"/>
      <c r="L44" s="157"/>
      <c r="M44" s="3"/>
      <c r="N44" s="3"/>
      <c r="O44" s="3"/>
      <c r="P44" s="3"/>
      <c r="Q44" s="3"/>
      <c r="R44" s="3"/>
      <c r="S44" s="3"/>
      <c r="T44" s="3"/>
      <c r="U44" s="3"/>
      <c r="V44" s="3"/>
      <c r="W44" s="156"/>
      <c r="X44" s="3"/>
      <c r="Y44" s="3"/>
      <c r="Z44" s="3"/>
    </row>
    <row r="45">
      <c r="A45" s="31" t="s">
        <v>116</v>
      </c>
      <c r="B45" s="184">
        <f>K41</f>
        <v>4898</v>
      </c>
      <c r="C45" s="35"/>
      <c r="D45" s="69"/>
      <c r="E45" s="162"/>
      <c r="F45" s="35"/>
      <c r="G45" s="205"/>
      <c r="H45" s="161"/>
      <c r="I45" s="161"/>
      <c r="J45" s="334"/>
      <c r="K45" s="161"/>
      <c r="L45" s="157"/>
      <c r="M45" s="3"/>
      <c r="N45" s="3"/>
      <c r="O45" s="3"/>
      <c r="P45" s="3"/>
      <c r="Q45" s="3"/>
      <c r="R45" s="3"/>
      <c r="S45" s="3"/>
      <c r="T45" s="3"/>
      <c r="U45" s="3"/>
      <c r="V45" s="3"/>
      <c r="W45" s="156"/>
      <c r="X45" s="3"/>
      <c r="Y45" s="3"/>
      <c r="Z45" s="3"/>
    </row>
    <row r="46">
      <c r="A46" s="31" t="s">
        <v>40</v>
      </c>
      <c r="B46" s="106">
        <f>B41</f>
        <v>6158707.19</v>
      </c>
      <c r="C46" s="35"/>
      <c r="D46" s="33" t="s">
        <v>41</v>
      </c>
      <c r="E46" s="34">
        <f>B47/B45</f>
        <v>481.3401388</v>
      </c>
      <c r="F46" s="61">
        <f>E46/E49</f>
        <v>0.3828082627</v>
      </c>
      <c r="G46" s="205"/>
      <c r="H46" s="161"/>
      <c r="I46" s="161"/>
      <c r="J46" s="334"/>
      <c r="K46" s="161"/>
      <c r="L46" s="157"/>
      <c r="M46" s="3"/>
      <c r="N46" s="3"/>
      <c r="O46" s="3"/>
      <c r="P46" s="3"/>
      <c r="Q46" s="3"/>
      <c r="R46" s="3"/>
      <c r="S46" s="3"/>
      <c r="T46" s="3"/>
      <c r="U46" s="3"/>
      <c r="V46" s="3"/>
      <c r="W46" s="156"/>
      <c r="X46" s="3"/>
      <c r="Y46" s="3"/>
      <c r="Z46" s="3"/>
    </row>
    <row r="47">
      <c r="A47" s="31" t="s">
        <v>41</v>
      </c>
      <c r="B47" s="106">
        <f>J41</f>
        <v>2357604</v>
      </c>
      <c r="C47" s="35"/>
      <c r="D47" s="33" t="s">
        <v>42</v>
      </c>
      <c r="E47" s="34">
        <f>G41/B45</f>
        <v>738.0892201</v>
      </c>
      <c r="F47" s="61">
        <f>E47/E49</f>
        <v>0.5869999804</v>
      </c>
      <c r="G47" s="205"/>
      <c r="H47" s="161"/>
      <c r="I47" s="157"/>
      <c r="J47" s="335"/>
      <c r="K47" s="161"/>
      <c r="L47" s="157"/>
      <c r="M47" s="3"/>
      <c r="N47" s="3"/>
      <c r="O47" s="3"/>
      <c r="P47" s="3"/>
      <c r="Q47" s="3"/>
      <c r="R47" s="3"/>
      <c r="S47" s="3"/>
      <c r="T47" s="3"/>
      <c r="U47" s="3"/>
      <c r="V47" s="3"/>
      <c r="W47" s="156"/>
      <c r="X47" s="3"/>
      <c r="Y47" s="3"/>
      <c r="Z47" s="3"/>
    </row>
    <row r="48">
      <c r="A48" s="31" t="s">
        <v>43</v>
      </c>
      <c r="B48" s="106">
        <f>L41</f>
        <v>474672</v>
      </c>
      <c r="C48" s="35"/>
      <c r="D48" s="33" t="s">
        <v>43</v>
      </c>
      <c r="E48" s="34">
        <f>B48/B45</f>
        <v>96.91139241</v>
      </c>
      <c r="F48" s="205">
        <f>E48/E49</f>
        <v>0.07707331837</v>
      </c>
      <c r="G48" s="205"/>
      <c r="H48" s="161"/>
      <c r="I48" s="157"/>
      <c r="J48" s="160"/>
      <c r="K48" s="161"/>
      <c r="L48" s="157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1" t="s">
        <v>44</v>
      </c>
      <c r="B49" s="106">
        <f>G41</f>
        <v>3615161</v>
      </c>
      <c r="C49" s="35"/>
      <c r="D49" s="33" t="s">
        <v>45</v>
      </c>
      <c r="E49" s="34">
        <f>B46/B45</f>
        <v>1257.39224</v>
      </c>
      <c r="F49" s="3"/>
      <c r="G49" s="205"/>
      <c r="H49" s="161"/>
      <c r="I49" s="157"/>
      <c r="J49" s="157"/>
      <c r="K49" s="157"/>
      <c r="L49" s="157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1" t="s">
        <v>46</v>
      </c>
      <c r="B50" s="106">
        <f>B46-(B47+B48+B49)</f>
        <v>-288729.81</v>
      </c>
      <c r="C50" s="37"/>
      <c r="D50" s="3"/>
      <c r="E50" s="3"/>
      <c r="F50" s="3"/>
      <c r="G50" s="3"/>
      <c r="H50" s="161"/>
      <c r="I50" s="157"/>
      <c r="J50" s="157"/>
      <c r="K50" s="157"/>
      <c r="L50" s="157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1" t="s">
        <v>47</v>
      </c>
      <c r="B51" s="336"/>
      <c r="C51" s="3"/>
      <c r="D51" s="3"/>
      <c r="E51" s="3"/>
      <c r="F51" s="3"/>
      <c r="G51" s="3"/>
      <c r="H51" s="157"/>
      <c r="I51" s="157"/>
      <c r="J51" s="157"/>
      <c r="K51" s="157"/>
      <c r="L51" s="157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157"/>
      <c r="Y51" s="157"/>
      <c r="Z51" s="157"/>
    </row>
    <row r="52">
      <c r="A52" s="276"/>
      <c r="B52" s="277"/>
      <c r="C52" s="209"/>
      <c r="D52" s="209"/>
      <c r="E52" s="209"/>
      <c r="F52" s="209"/>
      <c r="G52" s="209"/>
      <c r="H52" s="209"/>
      <c r="I52" s="209"/>
      <c r="J52" s="209"/>
      <c r="K52" s="209"/>
      <c r="L52" s="209"/>
      <c r="M52" s="209"/>
      <c r="N52" s="209"/>
      <c r="O52" s="209"/>
      <c r="P52" s="210"/>
      <c r="Q52" s="210"/>
      <c r="R52" s="210"/>
      <c r="S52" s="210"/>
      <c r="T52" s="210"/>
      <c r="U52" s="210"/>
      <c r="V52" s="210"/>
      <c r="W52" s="210"/>
      <c r="X52" s="210"/>
      <c r="Y52" s="210"/>
      <c r="Z52" s="210"/>
    </row>
    <row r="53">
      <c r="A53" s="276"/>
      <c r="B53" s="277"/>
      <c r="C53" s="209"/>
      <c r="D53" s="209"/>
      <c r="E53" s="209"/>
      <c r="F53" s="209"/>
      <c r="G53" s="209"/>
      <c r="H53" s="209"/>
      <c r="I53" s="209"/>
      <c r="J53" s="209"/>
      <c r="K53" s="209"/>
      <c r="L53" s="209"/>
      <c r="M53" s="209"/>
      <c r="N53" s="209"/>
      <c r="O53" s="209"/>
      <c r="P53" s="210"/>
      <c r="Q53" s="210"/>
      <c r="R53" s="210"/>
      <c r="S53" s="210"/>
      <c r="T53" s="210"/>
      <c r="U53" s="210"/>
      <c r="V53" s="210"/>
      <c r="W53" s="210"/>
      <c r="X53" s="210"/>
      <c r="Y53" s="210"/>
      <c r="Z53" s="210"/>
    </row>
    <row r="54">
      <c r="A54" s="276"/>
      <c r="B54" s="277"/>
      <c r="C54" s="209"/>
      <c r="D54" s="209"/>
      <c r="E54" s="209"/>
      <c r="F54" s="209"/>
      <c r="G54" s="209"/>
      <c r="H54" s="209"/>
      <c r="I54" s="209"/>
      <c r="J54" s="209"/>
      <c r="K54" s="209"/>
      <c r="L54" s="209"/>
      <c r="M54" s="209"/>
      <c r="N54" s="209"/>
      <c r="O54" s="209"/>
      <c r="P54" s="210"/>
      <c r="Q54" s="210"/>
      <c r="R54" s="210"/>
      <c r="S54" s="210"/>
      <c r="T54" s="210"/>
      <c r="U54" s="210"/>
      <c r="V54" s="210"/>
      <c r="W54" s="210"/>
      <c r="X54" s="210"/>
      <c r="Y54" s="210"/>
      <c r="Z54" s="210"/>
    </row>
    <row r="55">
      <c r="A55" s="276"/>
      <c r="B55" s="277"/>
      <c r="C55" s="209"/>
      <c r="D55" s="209"/>
      <c r="E55" s="209"/>
      <c r="F55" s="209"/>
      <c r="G55" s="209"/>
      <c r="H55" s="209"/>
      <c r="I55" s="209"/>
      <c r="J55" s="209"/>
      <c r="K55" s="209"/>
      <c r="L55" s="209"/>
      <c r="M55" s="209"/>
      <c r="N55" s="209"/>
      <c r="O55" s="209"/>
      <c r="P55" s="210"/>
      <c r="Q55" s="210"/>
      <c r="R55" s="210"/>
      <c r="S55" s="210"/>
      <c r="T55" s="210"/>
      <c r="U55" s="210"/>
      <c r="V55" s="210"/>
      <c r="W55" s="210"/>
      <c r="X55" s="210"/>
      <c r="Y55" s="210"/>
      <c r="Z55" s="210"/>
    </row>
    <row r="56">
      <c r="A56" s="276"/>
      <c r="B56" s="277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10"/>
      <c r="Q56" s="210"/>
      <c r="R56" s="210"/>
      <c r="S56" s="210"/>
      <c r="T56" s="210"/>
      <c r="U56" s="210"/>
      <c r="V56" s="210"/>
      <c r="W56" s="210"/>
      <c r="X56" s="210"/>
      <c r="Y56" s="210"/>
      <c r="Z56" s="210"/>
    </row>
    <row r="57">
      <c r="A57" s="1" t="s">
        <v>192</v>
      </c>
      <c r="B57" s="337" t="s">
        <v>48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</row>
    <row r="59">
      <c r="A59" s="38" t="s">
        <v>49</v>
      </c>
      <c r="B59" s="24" t="s">
        <v>3</v>
      </c>
      <c r="C59" s="24" t="s">
        <v>4</v>
      </c>
      <c r="D59" s="24" t="s">
        <v>5</v>
      </c>
      <c r="E59" s="39" t="s">
        <v>6</v>
      </c>
      <c r="F59" s="24" t="s">
        <v>7</v>
      </c>
      <c r="G59" s="24" t="s">
        <v>9</v>
      </c>
      <c r="H59" s="24" t="s">
        <v>11</v>
      </c>
      <c r="I59" s="24" t="s">
        <v>12</v>
      </c>
      <c r="J59" s="24" t="s">
        <v>50</v>
      </c>
      <c r="K59" s="24" t="s">
        <v>51</v>
      </c>
      <c r="L59" s="39" t="s">
        <v>16</v>
      </c>
      <c r="M59" s="24" t="s">
        <v>52</v>
      </c>
      <c r="N59" s="40" t="s">
        <v>53</v>
      </c>
      <c r="O59" s="3"/>
    </row>
    <row r="60">
      <c r="A60" s="24" t="s">
        <v>21</v>
      </c>
      <c r="B60" s="338">
        <f>521596.52+12940.36</f>
        <v>534536.88</v>
      </c>
      <c r="C60" s="213">
        <f t="shared" ref="C60:C79" si="27">K60+H60+M60</f>
        <v>335775</v>
      </c>
      <c r="D60" s="214">
        <f t="shared" ref="D60:D79" si="28">B60-C60</f>
        <v>198761.88</v>
      </c>
      <c r="E60" s="215">
        <f t="shared" ref="E60:E79" si="29">D60/B60*100</f>
        <v>37.18394136</v>
      </c>
      <c r="F60" s="216">
        <f t="shared" ref="F60:F79" si="30">D60/I60</f>
        <v>335.7464189</v>
      </c>
      <c r="G60" s="339">
        <f>622+7</f>
        <v>629</v>
      </c>
      <c r="H60" s="218">
        <f>304*I60</f>
        <v>179968</v>
      </c>
      <c r="I60" s="340">
        <f>585+7</f>
        <v>592</v>
      </c>
      <c r="J60" s="218">
        <f t="shared" ref="J60:J79" si="31">G60-I60</f>
        <v>37</v>
      </c>
      <c r="K60" s="246">
        <f>139588.37-105734.43+2219.11-130.51
</f>
        <v>35942.54</v>
      </c>
      <c r="L60" s="50">
        <f>J60/I60*100</f>
        <v>6.25</v>
      </c>
      <c r="M60" s="341">
        <f>116916.39+130.51+2817.56
</f>
        <v>119864.46</v>
      </c>
      <c r="N60" s="52"/>
      <c r="O60" s="53">
        <f t="shared" ref="O60:O79" si="32">B60/M60</f>
        <v>4.459511018</v>
      </c>
      <c r="P60" s="54">
        <f t="shared" ref="P60:P79" si="33">B60/$B$80*100</f>
        <v>21.22612434</v>
      </c>
    </row>
    <row r="61">
      <c r="A61" s="24" t="s">
        <v>23</v>
      </c>
      <c r="B61" s="248">
        <f>639819.56+18818.37</f>
        <v>658637.93</v>
      </c>
      <c r="C61" s="213">
        <f t="shared" si="27"/>
        <v>236240.03</v>
      </c>
      <c r="D61" s="214">
        <f t="shared" si="28"/>
        <v>422397.9</v>
      </c>
      <c r="E61" s="215">
        <f t="shared" si="29"/>
        <v>64.13203382</v>
      </c>
      <c r="F61" s="216">
        <f t="shared" si="30"/>
        <v>624.8489645</v>
      </c>
      <c r="G61" s="339">
        <f>699+13</f>
        <v>712</v>
      </c>
      <c r="H61" s="218">
        <f>220*I61</f>
        <v>148720</v>
      </c>
      <c r="I61" s="340">
        <f>663+13</f>
        <v>676</v>
      </c>
      <c r="J61" s="218">
        <f t="shared" si="31"/>
        <v>36</v>
      </c>
      <c r="K61" s="246">
        <f>60217.94-14770.25+3351.32</f>
        <v>48799.01</v>
      </c>
      <c r="L61" s="50">
        <f t="shared" ref="L61:L79" si="34">J61/G61*100</f>
        <v>5.056179775</v>
      </c>
      <c r="M61" s="341">
        <v>38721.02</v>
      </c>
      <c r="N61" s="52"/>
      <c r="O61" s="53">
        <f t="shared" si="32"/>
        <v>17.00982903</v>
      </c>
      <c r="P61" s="54">
        <f t="shared" si="33"/>
        <v>26.15409922</v>
      </c>
    </row>
    <row r="62">
      <c r="A62" s="24" t="s">
        <v>25</v>
      </c>
      <c r="B62" s="338">
        <v>72709.81</v>
      </c>
      <c r="C62" s="213">
        <f t="shared" si="27"/>
        <v>26325.96</v>
      </c>
      <c r="D62" s="214">
        <f t="shared" si="28"/>
        <v>46383.85</v>
      </c>
      <c r="E62" s="215">
        <f t="shared" si="29"/>
        <v>63.79311127</v>
      </c>
      <c r="F62" s="216">
        <f t="shared" si="30"/>
        <v>858.9601852</v>
      </c>
      <c r="G62" s="339">
        <v>57.0</v>
      </c>
      <c r="H62" s="218">
        <f> 220*I62</f>
        <v>11880</v>
      </c>
      <c r="I62" s="340">
        <v>54.0</v>
      </c>
      <c r="J62" s="218">
        <f t="shared" si="31"/>
        <v>3</v>
      </c>
      <c r="K62" s="342">
        <v>13799.22</v>
      </c>
      <c r="L62" s="50">
        <f t="shared" si="34"/>
        <v>5.263157895</v>
      </c>
      <c r="M62" s="283">
        <f>365.63+281.11</f>
        <v>646.74</v>
      </c>
      <c r="N62" s="52"/>
      <c r="O62" s="53">
        <f t="shared" si="32"/>
        <v>112.4251013</v>
      </c>
      <c r="P62" s="54">
        <f t="shared" si="33"/>
        <v>2.887260964</v>
      </c>
    </row>
    <row r="63">
      <c r="A63" s="24" t="s">
        <v>26</v>
      </c>
      <c r="B63" s="248">
        <v>191790.95</v>
      </c>
      <c r="C63" s="213">
        <f t="shared" si="27"/>
        <v>133219.16</v>
      </c>
      <c r="D63" s="214">
        <f t="shared" si="28"/>
        <v>58571.79</v>
      </c>
      <c r="E63" s="215">
        <f t="shared" si="29"/>
        <v>30.53939198</v>
      </c>
      <c r="F63" s="216">
        <f t="shared" si="30"/>
        <v>122.0245625</v>
      </c>
      <c r="G63" s="339">
        <v>516.0</v>
      </c>
      <c r="H63" s="218">
        <f> 184*I63</f>
        <v>88320</v>
      </c>
      <c r="I63" s="340">
        <v>480.0</v>
      </c>
      <c r="J63" s="218">
        <f t="shared" si="31"/>
        <v>36</v>
      </c>
      <c r="K63" s="246">
        <f>36524.25-18926.18
</f>
        <v>17598.07</v>
      </c>
      <c r="L63" s="50">
        <f t="shared" si="34"/>
        <v>6.976744186</v>
      </c>
      <c r="M63" s="280">
        <f>26870.39+181.66+249.04
</f>
        <v>27301.09</v>
      </c>
      <c r="N63" s="52"/>
      <c r="O63" s="53">
        <f t="shared" si="32"/>
        <v>7.025029037</v>
      </c>
      <c r="P63" s="54">
        <f t="shared" si="33"/>
        <v>7.615898367</v>
      </c>
    </row>
    <row r="64">
      <c r="A64" s="24" t="s">
        <v>29</v>
      </c>
      <c r="B64" s="338">
        <f>440490.21+27610.35</f>
        <v>468100.56</v>
      </c>
      <c r="C64" s="213">
        <f t="shared" si="27"/>
        <v>298529.9</v>
      </c>
      <c r="D64" s="214">
        <f t="shared" si="28"/>
        <v>169570.66</v>
      </c>
      <c r="E64" s="215">
        <f t="shared" si="29"/>
        <v>36.22526322</v>
      </c>
      <c r="F64" s="216">
        <f t="shared" si="30"/>
        <v>346.0625714</v>
      </c>
      <c r="G64" s="339">
        <f>504+20</f>
        <v>524</v>
      </c>
      <c r="H64" s="218">
        <f> 308*I64</f>
        <v>150920</v>
      </c>
      <c r="I64" s="340">
        <f>471+19</f>
        <v>490</v>
      </c>
      <c r="J64" s="218">
        <f t="shared" si="31"/>
        <v>34</v>
      </c>
      <c r="K64" s="246">
        <f>85020.29-55466.38+5094.3
</f>
        <v>34648.21</v>
      </c>
      <c r="L64" s="50">
        <f t="shared" si="34"/>
        <v>6.488549618</v>
      </c>
      <c r="M64" s="341">
        <v>112961.69</v>
      </c>
      <c r="N64" s="52"/>
      <c r="O64" s="53">
        <f t="shared" si="32"/>
        <v>4.14388772</v>
      </c>
      <c r="P64" s="54">
        <f t="shared" si="33"/>
        <v>18.58797973</v>
      </c>
    </row>
    <row r="65">
      <c r="A65" s="24" t="s">
        <v>31</v>
      </c>
      <c r="B65" s="343">
        <v>0.0</v>
      </c>
      <c r="C65" s="213">
        <f t="shared" si="27"/>
        <v>3166.56</v>
      </c>
      <c r="D65" s="214">
        <f t="shared" si="28"/>
        <v>-3166.56</v>
      </c>
      <c r="E65" s="215" t="str">
        <f t="shared" si="29"/>
        <v>#DIV/0!</v>
      </c>
      <c r="F65" s="216" t="str">
        <f t="shared" si="30"/>
        <v>#DIV/0!</v>
      </c>
      <c r="G65" s="344">
        <v>0.0</v>
      </c>
      <c r="H65" s="218">
        <f>435*I65</f>
        <v>0</v>
      </c>
      <c r="I65" s="345">
        <v>0.0</v>
      </c>
      <c r="J65" s="218">
        <f t="shared" si="31"/>
        <v>0</v>
      </c>
      <c r="K65" s="246">
        <v>0.0</v>
      </c>
      <c r="L65" s="50" t="str">
        <f t="shared" si="34"/>
        <v>#DIV/0!</v>
      </c>
      <c r="M65" s="280">
        <v>3166.56</v>
      </c>
      <c r="N65" s="52"/>
      <c r="O65" s="53">
        <f t="shared" si="32"/>
        <v>0</v>
      </c>
      <c r="P65" s="54">
        <f t="shared" si="33"/>
        <v>0</v>
      </c>
    </row>
    <row r="66">
      <c r="A66" s="24" t="s">
        <v>32</v>
      </c>
      <c r="B66" s="346">
        <v>0.0</v>
      </c>
      <c r="C66" s="213">
        <f t="shared" si="27"/>
        <v>826.78</v>
      </c>
      <c r="D66" s="214">
        <f t="shared" si="28"/>
        <v>-826.78</v>
      </c>
      <c r="E66" s="215" t="str">
        <f t="shared" si="29"/>
        <v>#DIV/0!</v>
      </c>
      <c r="F66" s="216" t="str">
        <f t="shared" si="30"/>
        <v>#DIV/0!</v>
      </c>
      <c r="G66" s="344">
        <v>0.0</v>
      </c>
      <c r="H66" s="218">
        <v>0.0</v>
      </c>
      <c r="I66" s="345">
        <v>0.0</v>
      </c>
      <c r="J66" s="218">
        <f t="shared" si="31"/>
        <v>0</v>
      </c>
      <c r="K66" s="246">
        <v>0.0</v>
      </c>
      <c r="L66" s="50" t="str">
        <f t="shared" si="34"/>
        <v>#DIV/0!</v>
      </c>
      <c r="M66" s="280">
        <v>826.78</v>
      </c>
      <c r="N66" s="52"/>
      <c r="O66" s="53">
        <f t="shared" si="32"/>
        <v>0</v>
      </c>
      <c r="P66" s="54">
        <f t="shared" si="33"/>
        <v>0</v>
      </c>
      <c r="R66" s="319"/>
    </row>
    <row r="67">
      <c r="A67" s="24" t="s">
        <v>33</v>
      </c>
      <c r="B67" s="248">
        <f>315662.39+78567.85</f>
        <v>394230.24</v>
      </c>
      <c r="C67" s="213">
        <f t="shared" si="27"/>
        <v>297583.21</v>
      </c>
      <c r="D67" s="214">
        <f t="shared" si="28"/>
        <v>96647.03</v>
      </c>
      <c r="E67" s="215">
        <f t="shared" si="29"/>
        <v>24.51537711</v>
      </c>
      <c r="F67" s="216">
        <f t="shared" si="30"/>
        <v>483.23515</v>
      </c>
      <c r="G67" s="339">
        <f>175+38</f>
        <v>213</v>
      </c>
      <c r="H67" s="218">
        <f>778*I67</f>
        <v>155600</v>
      </c>
      <c r="I67" s="340">
        <f>165+35</f>
        <v>200</v>
      </c>
      <c r="J67" s="218">
        <f t="shared" si="31"/>
        <v>13</v>
      </c>
      <c r="K67" s="246">
        <f>62154.76-9484.83+30705.79-17867.58
</f>
        <v>65508.14</v>
      </c>
      <c r="L67" s="50">
        <f t="shared" si="34"/>
        <v>6.103286385</v>
      </c>
      <c r="M67" s="280">
        <v>76475.07</v>
      </c>
      <c r="N67" s="52"/>
      <c r="O67" s="53">
        <f t="shared" si="32"/>
        <v>5.155016399</v>
      </c>
      <c r="P67" s="54">
        <f t="shared" si="33"/>
        <v>15.65463564</v>
      </c>
      <c r="R67" s="319"/>
    </row>
    <row r="68">
      <c r="A68" s="24" t="s">
        <v>131</v>
      </c>
      <c r="B68" s="248">
        <f>13417.19+7396</f>
        <v>20813.19</v>
      </c>
      <c r="C68" s="213">
        <f t="shared" si="27"/>
        <v>66854.13</v>
      </c>
      <c r="D68" s="214">
        <f t="shared" si="28"/>
        <v>-46040.94</v>
      </c>
      <c r="E68" s="215">
        <f t="shared" si="29"/>
        <v>-221.2103959</v>
      </c>
      <c r="F68" s="216">
        <f t="shared" si="30"/>
        <v>-4185.54</v>
      </c>
      <c r="G68" s="339">
        <f>8+4</f>
        <v>12</v>
      </c>
      <c r="H68" s="218">
        <f>(900)*I68</f>
        <v>9900</v>
      </c>
      <c r="I68" s="340">
        <f>7+4</f>
        <v>11</v>
      </c>
      <c r="J68" s="218">
        <f t="shared" si="31"/>
        <v>1</v>
      </c>
      <c r="K68" s="246">
        <f>5147.98-2684.37+2816.13-430.67
</f>
        <v>4849.07</v>
      </c>
      <c r="L68" s="50">
        <f t="shared" si="34"/>
        <v>8.333333333</v>
      </c>
      <c r="M68" s="280">
        <v>52105.06</v>
      </c>
      <c r="N68" s="52"/>
      <c r="O68" s="53">
        <f t="shared" si="32"/>
        <v>0.399446618</v>
      </c>
      <c r="P68" s="54">
        <f t="shared" si="33"/>
        <v>0.8264787245</v>
      </c>
      <c r="R68" s="319"/>
    </row>
    <row r="69">
      <c r="A69" s="347" t="s">
        <v>193</v>
      </c>
      <c r="B69" s="338">
        <v>2796.0</v>
      </c>
      <c r="C69" s="213">
        <f t="shared" si="27"/>
        <v>5320.28</v>
      </c>
      <c r="D69" s="214">
        <f t="shared" si="28"/>
        <v>-2524.28</v>
      </c>
      <c r="E69" s="215">
        <f t="shared" si="29"/>
        <v>-90.28183119</v>
      </c>
      <c r="F69" s="216">
        <f t="shared" si="30"/>
        <v>-631.07</v>
      </c>
      <c r="G69" s="344">
        <v>4.0</v>
      </c>
      <c r="H69" s="218">
        <f>(699)*I69</f>
        <v>2796</v>
      </c>
      <c r="I69" s="345">
        <v>4.0</v>
      </c>
      <c r="J69" s="218">
        <f t="shared" si="31"/>
        <v>0</v>
      </c>
      <c r="K69" s="342">
        <v>2524.28</v>
      </c>
      <c r="L69" s="50">
        <f t="shared" si="34"/>
        <v>0</v>
      </c>
      <c r="M69" s="318"/>
      <c r="N69" s="52"/>
      <c r="O69" s="53" t="str">
        <f t="shared" si="32"/>
        <v>#DIV/0!</v>
      </c>
      <c r="P69" s="54">
        <f t="shared" si="33"/>
        <v>0.1110274068</v>
      </c>
    </row>
    <row r="70">
      <c r="A70" s="24" t="s">
        <v>28</v>
      </c>
      <c r="B70" s="248">
        <v>0.0</v>
      </c>
      <c r="C70" s="213">
        <f t="shared" si="27"/>
        <v>3166.56</v>
      </c>
      <c r="D70" s="214">
        <f t="shared" si="28"/>
        <v>-3166.56</v>
      </c>
      <c r="E70" s="215" t="str">
        <f t="shared" si="29"/>
        <v>#DIV/0!</v>
      </c>
      <c r="F70" s="216" t="str">
        <f t="shared" si="30"/>
        <v>#DIV/0!</v>
      </c>
      <c r="G70" s="249">
        <v>0.0</v>
      </c>
      <c r="H70" s="218">
        <f>(270+220)*I70</f>
        <v>0</v>
      </c>
      <c r="I70" s="250">
        <v>0.0</v>
      </c>
      <c r="J70" s="218">
        <f t="shared" si="31"/>
        <v>0</v>
      </c>
      <c r="K70" s="251">
        <v>0.0</v>
      </c>
      <c r="L70" s="50" t="str">
        <f t="shared" si="34"/>
        <v>#DIV/0!</v>
      </c>
      <c r="M70" s="280">
        <v>3166.56</v>
      </c>
      <c r="N70" s="56"/>
      <c r="O70" s="53">
        <f t="shared" si="32"/>
        <v>0</v>
      </c>
      <c r="P70" s="54">
        <f t="shared" si="33"/>
        <v>0</v>
      </c>
    </row>
    <row r="71">
      <c r="A71" s="24" t="s">
        <v>56</v>
      </c>
      <c r="B71" s="338">
        <v>4448.0</v>
      </c>
      <c r="C71" s="213">
        <f t="shared" si="27"/>
        <v>4073.79</v>
      </c>
      <c r="D71" s="214">
        <f t="shared" si="28"/>
        <v>374.21</v>
      </c>
      <c r="E71" s="215">
        <f t="shared" si="29"/>
        <v>8.412994604</v>
      </c>
      <c r="F71" s="216">
        <f t="shared" si="30"/>
        <v>187.105</v>
      </c>
      <c r="G71" s="339">
        <v>2.0</v>
      </c>
      <c r="H71" s="218">
        <f>(220+304)*I71</f>
        <v>1048</v>
      </c>
      <c r="I71" s="340">
        <v>2.0</v>
      </c>
      <c r="J71" s="218">
        <f t="shared" si="31"/>
        <v>0</v>
      </c>
      <c r="K71" s="342">
        <v>686.01</v>
      </c>
      <c r="L71" s="50">
        <f t="shared" si="34"/>
        <v>0</v>
      </c>
      <c r="M71" s="341">
        <v>2339.78</v>
      </c>
      <c r="N71" s="52"/>
      <c r="O71" s="53">
        <f t="shared" si="32"/>
        <v>1.90103343</v>
      </c>
      <c r="P71" s="54">
        <f t="shared" si="33"/>
        <v>0.176627291</v>
      </c>
    </row>
    <row r="72">
      <c r="A72" s="24" t="s">
        <v>57</v>
      </c>
      <c r="B72" s="338">
        <v>285.57</v>
      </c>
      <c r="C72" s="213">
        <f t="shared" si="27"/>
        <v>4659.29</v>
      </c>
      <c r="D72" s="214">
        <f t="shared" si="28"/>
        <v>-4373.72</v>
      </c>
      <c r="E72" s="215">
        <f t="shared" si="29"/>
        <v>-1531.575446</v>
      </c>
      <c r="F72" s="216" t="str">
        <f t="shared" si="30"/>
        <v>#DIV/0!</v>
      </c>
      <c r="G72" s="339">
        <v>1.0</v>
      </c>
      <c r="H72" s="218">
        <f>(220+308)*I72</f>
        <v>0</v>
      </c>
      <c r="I72" s="340">
        <v>0.0</v>
      </c>
      <c r="J72" s="218">
        <f t="shared" si="31"/>
        <v>1</v>
      </c>
      <c r="K72" s="246">
        <f>4680.2-4220.32
</f>
        <v>459.88</v>
      </c>
      <c r="L72" s="50">
        <f t="shared" si="34"/>
        <v>100</v>
      </c>
      <c r="M72" s="341">
        <v>4199.41</v>
      </c>
      <c r="N72" s="52"/>
      <c r="O72" s="53">
        <f t="shared" si="32"/>
        <v>0.06800240986</v>
      </c>
      <c r="P72" s="54">
        <f t="shared" si="33"/>
        <v>0.01133980564</v>
      </c>
    </row>
    <row r="73">
      <c r="A73" s="24" t="s">
        <v>58</v>
      </c>
      <c r="B73" s="338">
        <v>1499.0</v>
      </c>
      <c r="C73" s="213">
        <f t="shared" si="27"/>
        <v>1536.77</v>
      </c>
      <c r="D73" s="214">
        <f t="shared" si="28"/>
        <v>-37.77</v>
      </c>
      <c r="E73" s="215">
        <f t="shared" si="29"/>
        <v>-2.519679787</v>
      </c>
      <c r="F73" s="216">
        <f t="shared" si="30"/>
        <v>-37.77</v>
      </c>
      <c r="G73" s="339">
        <v>1.0</v>
      </c>
      <c r="H73" s="218">
        <f>(304+184)*I73</f>
        <v>488</v>
      </c>
      <c r="I73" s="340">
        <v>1.0</v>
      </c>
      <c r="J73" s="218">
        <f t="shared" si="31"/>
        <v>0</v>
      </c>
      <c r="K73" s="246">
        <f>875.15-591.26</f>
        <v>283.89</v>
      </c>
      <c r="L73" s="50">
        <f t="shared" si="34"/>
        <v>0</v>
      </c>
      <c r="M73" s="341">
        <v>764.88</v>
      </c>
      <c r="N73" s="52"/>
      <c r="O73" s="53">
        <f t="shared" si="32"/>
        <v>1.959784541</v>
      </c>
      <c r="P73" s="54">
        <f t="shared" si="33"/>
        <v>0.05952435009</v>
      </c>
    </row>
    <row r="74">
      <c r="A74" s="24" t="s">
        <v>59</v>
      </c>
      <c r="B74" s="338">
        <v>2103.0</v>
      </c>
      <c r="C74" s="213">
        <f t="shared" si="27"/>
        <v>2329.49</v>
      </c>
      <c r="D74" s="214">
        <f t="shared" si="28"/>
        <v>-226.49</v>
      </c>
      <c r="E74" s="215">
        <f t="shared" si="29"/>
        <v>-10.76985259</v>
      </c>
      <c r="F74" s="216">
        <f t="shared" si="30"/>
        <v>-226.49</v>
      </c>
      <c r="G74" s="339">
        <v>2.0</v>
      </c>
      <c r="H74" s="218">
        <f>(304+308)*I74</f>
        <v>612</v>
      </c>
      <c r="I74" s="340">
        <v>1.0</v>
      </c>
      <c r="J74" s="218">
        <f t="shared" si="31"/>
        <v>1</v>
      </c>
      <c r="K74" s="246">
        <f>1310.91-629.85
</f>
        <v>681.06</v>
      </c>
      <c r="L74" s="50">
        <f t="shared" si="34"/>
        <v>50</v>
      </c>
      <c r="M74" s="280">
        <v>1036.43</v>
      </c>
      <c r="N74" s="52"/>
      <c r="O74" s="53">
        <f t="shared" si="32"/>
        <v>2.029080594</v>
      </c>
      <c r="P74" s="54">
        <f t="shared" si="33"/>
        <v>0.08350881137</v>
      </c>
    </row>
    <row r="75">
      <c r="A75" s="24" t="s">
        <v>161</v>
      </c>
      <c r="B75" s="338">
        <v>3540.55</v>
      </c>
      <c r="C75" s="213">
        <f t="shared" si="27"/>
        <v>2387.73</v>
      </c>
      <c r="D75" s="214">
        <f t="shared" si="28"/>
        <v>1152.82</v>
      </c>
      <c r="E75" s="215">
        <f t="shared" si="29"/>
        <v>32.56047789</v>
      </c>
      <c r="F75" s="216">
        <f t="shared" si="30"/>
        <v>1152.82</v>
      </c>
      <c r="G75" s="339">
        <v>1.0</v>
      </c>
      <c r="H75" s="218">
        <f>(1900)*I75</f>
        <v>1900</v>
      </c>
      <c r="I75" s="340">
        <v>1.0</v>
      </c>
      <c r="J75" s="218">
        <f t="shared" si="31"/>
        <v>0</v>
      </c>
      <c r="K75" s="342">
        <v>487.73</v>
      </c>
      <c r="L75" s="50">
        <f t="shared" si="34"/>
        <v>0</v>
      </c>
      <c r="M75" s="186"/>
      <c r="N75" s="52"/>
      <c r="O75" s="53" t="str">
        <f t="shared" si="32"/>
        <v>#DIV/0!</v>
      </c>
      <c r="P75" s="54">
        <f t="shared" si="33"/>
        <v>0.1405930205</v>
      </c>
    </row>
    <row r="76">
      <c r="A76" s="24" t="s">
        <v>194</v>
      </c>
      <c r="B76" s="338">
        <v>85749.39</v>
      </c>
      <c r="C76" s="213">
        <f t="shared" si="27"/>
        <v>41939.81</v>
      </c>
      <c r="D76" s="214">
        <f t="shared" si="28"/>
        <v>43809.58</v>
      </c>
      <c r="E76" s="215">
        <f t="shared" si="29"/>
        <v>51.09025265</v>
      </c>
      <c r="F76" s="216">
        <f t="shared" si="30"/>
        <v>476.191087</v>
      </c>
      <c r="G76" s="339">
        <v>94.0</v>
      </c>
      <c r="H76" s="218">
        <f t="shared" ref="H76:H77" si="35">(330)*I76</f>
        <v>30360</v>
      </c>
      <c r="I76" s="340">
        <v>92.0</v>
      </c>
      <c r="J76" s="218">
        <f t="shared" si="31"/>
        <v>2</v>
      </c>
      <c r="K76" s="246">
        <f>10598.5-1927.45
</f>
        <v>8671.05</v>
      </c>
      <c r="L76" s="50">
        <f t="shared" si="34"/>
        <v>2.127659574</v>
      </c>
      <c r="M76" s="280">
        <v>2908.76</v>
      </c>
      <c r="N76" s="52"/>
      <c r="O76" s="53">
        <f t="shared" si="32"/>
        <v>29.47970613</v>
      </c>
      <c r="P76" s="54">
        <f t="shared" si="33"/>
        <v>3.40505451</v>
      </c>
    </row>
    <row r="77">
      <c r="A77" s="24" t="s">
        <v>195</v>
      </c>
      <c r="B77" s="338">
        <v>42301.1</v>
      </c>
      <c r="C77" s="213">
        <f t="shared" si="27"/>
        <v>29402.27</v>
      </c>
      <c r="D77" s="214">
        <f t="shared" si="28"/>
        <v>12898.83</v>
      </c>
      <c r="E77" s="215">
        <f t="shared" si="29"/>
        <v>30.49289498</v>
      </c>
      <c r="F77" s="216">
        <f t="shared" si="30"/>
        <v>274.4431915</v>
      </c>
      <c r="G77" s="339">
        <v>49.0</v>
      </c>
      <c r="H77" s="218">
        <f t="shared" si="35"/>
        <v>15510</v>
      </c>
      <c r="I77" s="340">
        <v>47.0</v>
      </c>
      <c r="J77" s="218">
        <f t="shared" si="31"/>
        <v>2</v>
      </c>
      <c r="K77" s="246">
        <f>9305.17-2506.1</f>
        <v>6799.07</v>
      </c>
      <c r="L77" s="50">
        <f t="shared" si="34"/>
        <v>4.081632653</v>
      </c>
      <c r="M77" s="280">
        <v>7093.2</v>
      </c>
      <c r="N77" s="52"/>
      <c r="O77" s="53">
        <f t="shared" si="32"/>
        <v>5.963613038</v>
      </c>
      <c r="P77" s="54">
        <f t="shared" si="33"/>
        <v>1.679750157</v>
      </c>
    </row>
    <row r="78">
      <c r="A78" s="24" t="s">
        <v>54</v>
      </c>
      <c r="B78" s="338">
        <v>2995.0</v>
      </c>
      <c r="C78" s="213">
        <f t="shared" si="27"/>
        <v>1716.43</v>
      </c>
      <c r="D78" s="214">
        <f t="shared" si="28"/>
        <v>1278.57</v>
      </c>
      <c r="E78" s="215">
        <f t="shared" si="29"/>
        <v>42.69015025</v>
      </c>
      <c r="F78" s="216">
        <f t="shared" si="30"/>
        <v>255.714</v>
      </c>
      <c r="G78" s="344">
        <v>5.0</v>
      </c>
      <c r="H78" s="218">
        <f>(200)*I78</f>
        <v>1000</v>
      </c>
      <c r="I78" s="345">
        <v>5.0</v>
      </c>
      <c r="J78" s="218">
        <f t="shared" si="31"/>
        <v>0</v>
      </c>
      <c r="K78" s="246">
        <f>724.89-512.89
</f>
        <v>212</v>
      </c>
      <c r="L78" s="50">
        <f t="shared" si="34"/>
        <v>0</v>
      </c>
      <c r="M78" s="280">
        <v>504.43</v>
      </c>
      <c r="N78" s="52"/>
      <c r="O78" s="53">
        <f t="shared" si="32"/>
        <v>5.937394683</v>
      </c>
      <c r="P78" s="54">
        <f t="shared" si="33"/>
        <v>0.1189295721</v>
      </c>
    </row>
    <row r="79">
      <c r="A79" s="24" t="s">
        <v>157</v>
      </c>
      <c r="B79" s="338">
        <v>31759.96</v>
      </c>
      <c r="C79" s="213">
        <f t="shared" si="27"/>
        <v>35029.59</v>
      </c>
      <c r="D79" s="214">
        <f t="shared" si="28"/>
        <v>-3269.63</v>
      </c>
      <c r="E79" s="215">
        <f t="shared" si="29"/>
        <v>-10.29481775</v>
      </c>
      <c r="F79" s="216">
        <f t="shared" si="30"/>
        <v>-81.74075</v>
      </c>
      <c r="G79" s="339">
        <v>51.0</v>
      </c>
      <c r="H79" s="218">
        <f>(330)*I79</f>
        <v>13200</v>
      </c>
      <c r="I79" s="340">
        <v>40.0</v>
      </c>
      <c r="J79" s="218">
        <f t="shared" si="31"/>
        <v>11</v>
      </c>
      <c r="K79" s="246">
        <f>21816.73-19493.73
</f>
        <v>2323</v>
      </c>
      <c r="L79" s="50">
        <f t="shared" si="34"/>
        <v>21.56862745</v>
      </c>
      <c r="M79" s="341">
        <v>19506.59</v>
      </c>
      <c r="N79" s="52"/>
      <c r="O79" s="53">
        <f t="shared" si="32"/>
        <v>1.628165661</v>
      </c>
      <c r="P79" s="54">
        <f t="shared" si="33"/>
        <v>1.261168097</v>
      </c>
    </row>
    <row r="80" ht="14.25" customHeight="1">
      <c r="A80" s="3" t="s">
        <v>38</v>
      </c>
      <c r="B80" s="68">
        <f t="shared" ref="B80:D80" si="36">SUM(B60:B79)</f>
        <v>2518297.13</v>
      </c>
      <c r="C80" s="68">
        <f t="shared" si="36"/>
        <v>1530082.74</v>
      </c>
      <c r="D80" s="53">
        <f t="shared" si="36"/>
        <v>988214.39</v>
      </c>
      <c r="E80" s="252"/>
      <c r="F80" s="252"/>
      <c r="G80" s="41">
        <f t="shared" ref="G80:I80" si="37">SUM(G60:G79)</f>
        <v>2873</v>
      </c>
      <c r="H80" s="41">
        <f t="shared" si="37"/>
        <v>812222</v>
      </c>
      <c r="I80" s="41">
        <f t="shared" si="37"/>
        <v>2696</v>
      </c>
      <c r="J80" s="3"/>
      <c r="K80" s="68">
        <f>SUM(K60:K79)</f>
        <v>244272.23</v>
      </c>
      <c r="L80" s="252"/>
      <c r="M80" s="68">
        <f>SUM(M60:M79)</f>
        <v>473588.51</v>
      </c>
      <c r="N80" s="3"/>
      <c r="O80" s="54"/>
    </row>
    <row r="83">
      <c r="A83" s="115" t="s">
        <v>40</v>
      </c>
      <c r="B83" s="116">
        <f>B80</f>
        <v>2518297.13</v>
      </c>
      <c r="C83" s="3"/>
      <c r="D83" s="3"/>
      <c r="E83" s="3"/>
      <c r="F83" s="3"/>
    </row>
    <row r="84">
      <c r="A84" s="117" t="s">
        <v>41</v>
      </c>
      <c r="B84" s="118">
        <f>H80</f>
        <v>812222</v>
      </c>
      <c r="C84" s="3"/>
      <c r="D84" s="30" t="s">
        <v>39</v>
      </c>
      <c r="E84" s="3"/>
      <c r="F84" s="3"/>
      <c r="G84" s="58"/>
    </row>
    <row r="85">
      <c r="A85" s="119" t="s">
        <v>143</v>
      </c>
      <c r="B85" s="120">
        <f>K80</f>
        <v>244272.23</v>
      </c>
      <c r="C85" s="3"/>
      <c r="D85" s="33" t="s">
        <v>41</v>
      </c>
      <c r="E85" s="34">
        <f>B84/I80</f>
        <v>301.2692878</v>
      </c>
      <c r="F85" s="59">
        <f>E85/E89</f>
        <v>0.3225282634</v>
      </c>
    </row>
    <row r="86">
      <c r="A86" s="119" t="s">
        <v>61</v>
      </c>
      <c r="B86" s="120">
        <v>0.0</v>
      </c>
      <c r="C86" s="3"/>
      <c r="D86" s="33"/>
      <c r="E86" s="34"/>
      <c r="F86" s="59"/>
    </row>
    <row r="87">
      <c r="A87" s="121" t="s">
        <v>44</v>
      </c>
      <c r="B87" s="122">
        <f>M80</f>
        <v>473588.51</v>
      </c>
      <c r="C87" s="3"/>
      <c r="D87" s="33" t="s">
        <v>42</v>
      </c>
      <c r="E87" s="34">
        <f>B87/I80</f>
        <v>175.6633939</v>
      </c>
      <c r="F87" s="59"/>
    </row>
    <row r="88">
      <c r="A88" s="123" t="s">
        <v>62</v>
      </c>
      <c r="B88" s="124">
        <f>B83-SUM(B84:B87)</f>
        <v>988214.39</v>
      </c>
      <c r="C88" s="3"/>
      <c r="D88" s="33" t="s">
        <v>63</v>
      </c>
      <c r="E88" s="34">
        <f>B85/I80</f>
        <v>90.60542656</v>
      </c>
      <c r="F88" s="61"/>
    </row>
    <row r="89">
      <c r="A89" s="125" t="s">
        <v>47</v>
      </c>
      <c r="B89" s="126">
        <f>B88/B83*100</f>
        <v>39.24137379</v>
      </c>
      <c r="C89" s="3"/>
      <c r="D89" s="33" t="s">
        <v>45</v>
      </c>
      <c r="E89" s="34">
        <f>B83/I80</f>
        <v>934.0864726</v>
      </c>
      <c r="F89" s="3"/>
    </row>
    <row r="96">
      <c r="A96" s="1" t="s">
        <v>192</v>
      </c>
      <c r="B96" s="194" t="s">
        <v>64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>
      <c r="A97" s="3"/>
      <c r="B97" s="37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>
      <c r="A98" s="38" t="s">
        <v>49</v>
      </c>
      <c r="B98" s="176" t="s">
        <v>3</v>
      </c>
      <c r="C98" s="24" t="s">
        <v>4</v>
      </c>
      <c r="D98" s="24" t="s">
        <v>5</v>
      </c>
      <c r="E98" s="39" t="s">
        <v>6</v>
      </c>
      <c r="F98" s="24" t="s">
        <v>7</v>
      </c>
      <c r="G98" s="24" t="s">
        <v>9</v>
      </c>
      <c r="H98" s="24" t="s">
        <v>11</v>
      </c>
      <c r="I98" s="24" t="s">
        <v>12</v>
      </c>
      <c r="J98" s="24" t="s">
        <v>50</v>
      </c>
      <c r="K98" s="24" t="s">
        <v>65</v>
      </c>
      <c r="L98" s="39" t="s">
        <v>16</v>
      </c>
      <c r="M98" s="24" t="s">
        <v>52</v>
      </c>
      <c r="N98" s="3"/>
    </row>
    <row r="99">
      <c r="A99" s="42" t="s">
        <v>21</v>
      </c>
      <c r="B99" s="320">
        <v>0.0</v>
      </c>
      <c r="C99" s="44">
        <f t="shared" ref="C99:C107" si="38">K99+H99</f>
        <v>0</v>
      </c>
      <c r="D99" s="45">
        <f t="shared" ref="D99:D113" si="39">B99-C99</f>
        <v>0</v>
      </c>
      <c r="E99" s="11" t="str">
        <f t="shared" ref="E99:E113" si="40">D99/B99*100</f>
        <v>#DIV/0!</v>
      </c>
      <c r="F99" s="46" t="str">
        <f t="shared" ref="F99:F113" si="41">D99/I99</f>
        <v>#DIV/0!</v>
      </c>
      <c r="G99" s="321">
        <v>0.0</v>
      </c>
      <c r="H99" s="14">
        <f>220*I99</f>
        <v>0</v>
      </c>
      <c r="I99" s="322">
        <v>0.0</v>
      </c>
      <c r="J99" s="14">
        <f t="shared" ref="J99:J113" si="42">G99-I99</f>
        <v>0</v>
      </c>
      <c r="K99" s="323">
        <v>0.0</v>
      </c>
      <c r="L99" s="50" t="str">
        <f t="shared" ref="L99:L113" si="43">J99/G99*100</f>
        <v>#DIV/0!</v>
      </c>
      <c r="M99" s="28"/>
      <c r="N99" s="3"/>
      <c r="P99" s="54"/>
    </row>
    <row r="100">
      <c r="A100" s="42" t="s">
        <v>23</v>
      </c>
      <c r="B100" s="324">
        <v>78218.0</v>
      </c>
      <c r="C100" s="44">
        <f t="shared" si="38"/>
        <v>29088.5</v>
      </c>
      <c r="D100" s="45">
        <f t="shared" si="39"/>
        <v>49129.5</v>
      </c>
      <c r="E100" s="11">
        <f t="shared" si="40"/>
        <v>62.8109898</v>
      </c>
      <c r="F100" s="46">
        <f t="shared" si="41"/>
        <v>744.3863636</v>
      </c>
      <c r="G100" s="321">
        <v>92.0</v>
      </c>
      <c r="H100" s="14">
        <f>304*I100</f>
        <v>20064</v>
      </c>
      <c r="I100" s="322">
        <v>66.0</v>
      </c>
      <c r="J100" s="14">
        <f t="shared" si="42"/>
        <v>26</v>
      </c>
      <c r="K100" s="323">
        <v>9024.5</v>
      </c>
      <c r="L100" s="50">
        <f t="shared" si="43"/>
        <v>28.26086957</v>
      </c>
      <c r="M100" s="28"/>
      <c r="N100" s="3"/>
      <c r="P100" s="54"/>
    </row>
    <row r="101">
      <c r="A101" s="42" t="s">
        <v>25</v>
      </c>
      <c r="B101" s="324">
        <v>5478.0</v>
      </c>
      <c r="C101" s="44">
        <f t="shared" si="38"/>
        <v>2881.11</v>
      </c>
      <c r="D101" s="45">
        <f t="shared" si="39"/>
        <v>2596.89</v>
      </c>
      <c r="E101" s="11">
        <f t="shared" si="40"/>
        <v>47.40580504</v>
      </c>
      <c r="F101" s="46">
        <f t="shared" si="41"/>
        <v>865.63</v>
      </c>
      <c r="G101" s="321">
        <v>5.0</v>
      </c>
      <c r="H101" s="14">
        <f> 662*I101</f>
        <v>1986</v>
      </c>
      <c r="I101" s="322">
        <v>3.0</v>
      </c>
      <c r="J101" s="14">
        <f t="shared" si="42"/>
        <v>2</v>
      </c>
      <c r="K101" s="323">
        <v>895.11</v>
      </c>
      <c r="L101" s="50">
        <f t="shared" si="43"/>
        <v>40</v>
      </c>
      <c r="M101" s="107"/>
      <c r="N101" s="3"/>
      <c r="P101" s="54"/>
    </row>
    <row r="102">
      <c r="A102" s="42" t="s">
        <v>26</v>
      </c>
      <c r="B102" s="324">
        <v>41876.0</v>
      </c>
      <c r="C102" s="44">
        <f t="shared" si="38"/>
        <v>20302.48</v>
      </c>
      <c r="D102" s="45">
        <f t="shared" si="39"/>
        <v>21573.52</v>
      </c>
      <c r="E102" s="11">
        <f t="shared" si="40"/>
        <v>51.51762346</v>
      </c>
      <c r="F102" s="46">
        <f t="shared" si="41"/>
        <v>239.7057778</v>
      </c>
      <c r="G102" s="321">
        <v>117.0</v>
      </c>
      <c r="H102" s="14">
        <f>184*I102</f>
        <v>16560</v>
      </c>
      <c r="I102" s="322">
        <v>90.0</v>
      </c>
      <c r="J102" s="14">
        <f t="shared" si="42"/>
        <v>27</v>
      </c>
      <c r="K102" s="323">
        <v>3742.48</v>
      </c>
      <c r="L102" s="50">
        <f t="shared" si="43"/>
        <v>23.07692308</v>
      </c>
      <c r="M102" s="28"/>
      <c r="N102" s="3"/>
      <c r="P102" s="54"/>
    </row>
    <row r="103">
      <c r="A103" s="42" t="s">
        <v>196</v>
      </c>
      <c r="B103" s="324">
        <v>955.0</v>
      </c>
      <c r="C103" s="44">
        <f t="shared" si="38"/>
        <v>439.21</v>
      </c>
      <c r="D103" s="45">
        <f t="shared" si="39"/>
        <v>515.79</v>
      </c>
      <c r="E103" s="11">
        <f t="shared" si="40"/>
        <v>54.00942408</v>
      </c>
      <c r="F103" s="46">
        <f t="shared" si="41"/>
        <v>515.79</v>
      </c>
      <c r="G103" s="321">
        <v>1.0</v>
      </c>
      <c r="H103" s="14">
        <f>435*I103</f>
        <v>435</v>
      </c>
      <c r="I103" s="322">
        <v>1.0</v>
      </c>
      <c r="J103" s="14">
        <f t="shared" si="42"/>
        <v>0</v>
      </c>
      <c r="K103" s="323">
        <v>4.21</v>
      </c>
      <c r="L103" s="50">
        <f t="shared" si="43"/>
        <v>0</v>
      </c>
      <c r="M103" s="28"/>
      <c r="N103" s="3"/>
      <c r="P103" s="54"/>
    </row>
    <row r="104">
      <c r="A104" s="42" t="s">
        <v>29</v>
      </c>
      <c r="B104" s="324">
        <v>16467.0</v>
      </c>
      <c r="C104" s="44">
        <f t="shared" si="38"/>
        <v>5602.65</v>
      </c>
      <c r="D104" s="45">
        <f t="shared" si="39"/>
        <v>10864.35</v>
      </c>
      <c r="E104" s="11">
        <f t="shared" si="40"/>
        <v>65.97649845</v>
      </c>
      <c r="F104" s="46">
        <f t="shared" si="41"/>
        <v>835.7192308</v>
      </c>
      <c r="G104" s="321">
        <v>14.0</v>
      </c>
      <c r="H104" s="14">
        <f>308*I104</f>
        <v>4004</v>
      </c>
      <c r="I104" s="322">
        <v>13.0</v>
      </c>
      <c r="J104" s="14">
        <f t="shared" si="42"/>
        <v>1</v>
      </c>
      <c r="K104" s="323">
        <v>1598.65</v>
      </c>
      <c r="L104" s="50">
        <f t="shared" si="43"/>
        <v>7.142857143</v>
      </c>
      <c r="M104" s="28"/>
      <c r="N104" s="3"/>
      <c r="P104" s="54"/>
    </row>
    <row r="105">
      <c r="A105" s="42" t="s">
        <v>31</v>
      </c>
      <c r="B105" s="324"/>
      <c r="C105" s="44">
        <f t="shared" si="38"/>
        <v>0</v>
      </c>
      <c r="D105" s="45">
        <f t="shared" si="39"/>
        <v>0</v>
      </c>
      <c r="E105" s="11" t="str">
        <f t="shared" si="40"/>
        <v>#DIV/0!</v>
      </c>
      <c r="F105" s="46" t="str">
        <f t="shared" si="41"/>
        <v>#DIV/0!</v>
      </c>
      <c r="G105" s="321"/>
      <c r="H105" s="14">
        <f>435*I105</f>
        <v>0</v>
      </c>
      <c r="I105" s="322"/>
      <c r="J105" s="14">
        <f t="shared" si="42"/>
        <v>0</v>
      </c>
      <c r="K105" s="323">
        <v>0.0</v>
      </c>
      <c r="L105" s="50" t="str">
        <f t="shared" si="43"/>
        <v>#DIV/0!</v>
      </c>
      <c r="M105" s="28"/>
      <c r="N105" s="3"/>
      <c r="P105" s="54"/>
    </row>
    <row r="106">
      <c r="A106" s="42" t="s">
        <v>66</v>
      </c>
      <c r="B106" s="324"/>
      <c r="C106" s="44">
        <f t="shared" si="38"/>
        <v>0</v>
      </c>
      <c r="D106" s="45">
        <f t="shared" si="39"/>
        <v>0</v>
      </c>
      <c r="E106" s="11" t="str">
        <f t="shared" si="40"/>
        <v>#DIV/0!</v>
      </c>
      <c r="F106" s="46" t="str">
        <f t="shared" si="41"/>
        <v>#DIV/0!</v>
      </c>
      <c r="G106" s="321"/>
      <c r="H106" s="14">
        <f>200*I106</f>
        <v>0</v>
      </c>
      <c r="I106" s="322"/>
      <c r="J106" s="14">
        <f t="shared" si="42"/>
        <v>0</v>
      </c>
      <c r="K106" s="323">
        <v>0.0</v>
      </c>
      <c r="L106" s="50" t="str">
        <f t="shared" si="43"/>
        <v>#DIV/0!</v>
      </c>
      <c r="M106" s="28"/>
      <c r="N106" s="3"/>
      <c r="P106" s="54"/>
    </row>
    <row r="107">
      <c r="A107" s="42" t="s">
        <v>33</v>
      </c>
      <c r="B107" s="324">
        <v>23808.0</v>
      </c>
      <c r="C107" s="44">
        <f t="shared" si="38"/>
        <v>12215.32</v>
      </c>
      <c r="D107" s="45">
        <f t="shared" si="39"/>
        <v>11592.68</v>
      </c>
      <c r="E107" s="11">
        <f t="shared" si="40"/>
        <v>48.69237231</v>
      </c>
      <c r="F107" s="46">
        <f t="shared" si="41"/>
        <v>966.0566667</v>
      </c>
      <c r="G107" s="321">
        <v>19.0</v>
      </c>
      <c r="H107" s="14">
        <f>778*I107</f>
        <v>9336</v>
      </c>
      <c r="I107" s="322">
        <v>12.0</v>
      </c>
      <c r="J107" s="14">
        <f t="shared" si="42"/>
        <v>7</v>
      </c>
      <c r="K107" s="323">
        <v>2879.32</v>
      </c>
      <c r="L107" s="50">
        <f t="shared" si="43"/>
        <v>36.84210526</v>
      </c>
      <c r="M107" s="28"/>
      <c r="N107" s="3"/>
      <c r="P107" s="54"/>
      <c r="X107" s="3"/>
    </row>
    <row r="108">
      <c r="A108" s="24" t="s">
        <v>131</v>
      </c>
      <c r="B108" s="325">
        <v>0.0</v>
      </c>
      <c r="C108" s="213">
        <f>K108+H108+M108</f>
        <v>239.54</v>
      </c>
      <c r="D108" s="214">
        <f t="shared" si="39"/>
        <v>-239.54</v>
      </c>
      <c r="E108" s="215" t="str">
        <f t="shared" si="40"/>
        <v>#DIV/0!</v>
      </c>
      <c r="F108" s="216" t="str">
        <f t="shared" si="41"/>
        <v>#DIV/0!</v>
      </c>
      <c r="G108" s="223"/>
      <c r="H108" s="218">
        <f>(330)*I108</f>
        <v>0</v>
      </c>
      <c r="I108" s="224"/>
      <c r="J108" s="218">
        <f t="shared" si="42"/>
        <v>0</v>
      </c>
      <c r="K108" s="225">
        <v>239.54</v>
      </c>
      <c r="L108" s="50" t="str">
        <f t="shared" si="43"/>
        <v>#DIV/0!</v>
      </c>
      <c r="M108" s="186"/>
      <c r="N108" s="206"/>
      <c r="O108" s="3"/>
    </row>
    <row r="109">
      <c r="A109" s="42" t="s">
        <v>179</v>
      </c>
      <c r="B109" s="324">
        <v>2256.0</v>
      </c>
      <c r="C109" s="44">
        <f t="shared" ref="C109:C113" si="44">K109+H109</f>
        <v>739.56</v>
      </c>
      <c r="D109" s="45">
        <f t="shared" si="39"/>
        <v>1516.44</v>
      </c>
      <c r="E109" s="11">
        <f t="shared" si="40"/>
        <v>67.21808511</v>
      </c>
      <c r="F109" s="46">
        <f t="shared" si="41"/>
        <v>1516.44</v>
      </c>
      <c r="G109" s="321">
        <v>1.0</v>
      </c>
      <c r="H109" s="14">
        <f>(220+308)*I109</f>
        <v>528</v>
      </c>
      <c r="I109" s="322">
        <v>1.0</v>
      </c>
      <c r="J109" s="14">
        <f t="shared" si="42"/>
        <v>0</v>
      </c>
      <c r="K109" s="323">
        <v>211.56</v>
      </c>
      <c r="L109" s="50">
        <f t="shared" si="43"/>
        <v>0</v>
      </c>
      <c r="M109" s="28"/>
      <c r="N109" s="3"/>
      <c r="P109" s="54"/>
      <c r="X109" s="3"/>
    </row>
    <row r="110">
      <c r="A110" s="42" t="s">
        <v>55</v>
      </c>
      <c r="B110" s="324">
        <v>14140.0</v>
      </c>
      <c r="C110" s="44">
        <f t="shared" si="44"/>
        <v>5560.86</v>
      </c>
      <c r="D110" s="45">
        <f t="shared" si="39"/>
        <v>8579.14</v>
      </c>
      <c r="E110" s="11">
        <f t="shared" si="40"/>
        <v>60.672843</v>
      </c>
      <c r="F110" s="46">
        <f t="shared" si="41"/>
        <v>857.914</v>
      </c>
      <c r="G110" s="321">
        <v>14.0</v>
      </c>
      <c r="H110" s="14">
        <f>(220+184)*I110</f>
        <v>4040</v>
      </c>
      <c r="I110" s="322">
        <v>10.0</v>
      </c>
      <c r="J110" s="14">
        <f t="shared" si="42"/>
        <v>4</v>
      </c>
      <c r="K110" s="323">
        <v>1520.86</v>
      </c>
      <c r="L110" s="50">
        <f t="shared" si="43"/>
        <v>28.57142857</v>
      </c>
      <c r="M110" s="28"/>
      <c r="N110" s="3"/>
      <c r="P110" s="54"/>
      <c r="X110" s="3"/>
    </row>
    <row r="111">
      <c r="A111" s="42" t="s">
        <v>67</v>
      </c>
      <c r="B111" s="324">
        <v>37947.0</v>
      </c>
      <c r="C111" s="44">
        <f t="shared" si="44"/>
        <v>16715.34</v>
      </c>
      <c r="D111" s="45">
        <f t="shared" si="39"/>
        <v>21231.66</v>
      </c>
      <c r="E111" s="11">
        <f t="shared" si="40"/>
        <v>55.95082615</v>
      </c>
      <c r="F111" s="46">
        <f t="shared" si="41"/>
        <v>732.1262069</v>
      </c>
      <c r="G111" s="321">
        <v>34.0</v>
      </c>
      <c r="H111" s="14">
        <f>(304+184)*I111</f>
        <v>14152</v>
      </c>
      <c r="I111" s="322">
        <v>29.0</v>
      </c>
      <c r="J111" s="14">
        <f t="shared" si="42"/>
        <v>5</v>
      </c>
      <c r="K111" s="323">
        <v>2563.34</v>
      </c>
      <c r="L111" s="50">
        <f t="shared" si="43"/>
        <v>14.70588235</v>
      </c>
      <c r="M111" s="28"/>
      <c r="N111" s="3"/>
      <c r="P111" s="54"/>
      <c r="U111" s="3"/>
      <c r="V111" s="3"/>
      <c r="W111" s="3"/>
      <c r="X111" s="3"/>
    </row>
    <row r="112">
      <c r="A112" s="42" t="s">
        <v>68</v>
      </c>
      <c r="B112" s="324">
        <v>6093.0</v>
      </c>
      <c r="C112" s="44">
        <f t="shared" si="44"/>
        <v>2221.23</v>
      </c>
      <c r="D112" s="45">
        <f t="shared" si="39"/>
        <v>3871.77</v>
      </c>
      <c r="E112" s="11">
        <f t="shared" si="40"/>
        <v>63.54455933</v>
      </c>
      <c r="F112" s="46">
        <f t="shared" si="41"/>
        <v>1290.59</v>
      </c>
      <c r="G112" s="321">
        <v>3.0</v>
      </c>
      <c r="H112" s="14">
        <f>(304+308)*I112</f>
        <v>1836</v>
      </c>
      <c r="I112" s="322">
        <v>3.0</v>
      </c>
      <c r="J112" s="14">
        <f t="shared" si="42"/>
        <v>0</v>
      </c>
      <c r="K112" s="323">
        <v>385.23</v>
      </c>
      <c r="L112" s="50">
        <f t="shared" si="43"/>
        <v>0</v>
      </c>
      <c r="M112" s="28"/>
      <c r="N112" s="3"/>
      <c r="P112" s="54"/>
      <c r="U112" s="3"/>
      <c r="V112" s="3"/>
      <c r="W112" s="3"/>
      <c r="X112" s="3"/>
    </row>
    <row r="113">
      <c r="A113" s="42" t="s">
        <v>56</v>
      </c>
      <c r="B113" s="324">
        <v>25047.0</v>
      </c>
      <c r="C113" s="44">
        <f t="shared" si="44"/>
        <v>9496.76</v>
      </c>
      <c r="D113" s="45">
        <f t="shared" si="39"/>
        <v>15550.24</v>
      </c>
      <c r="E113" s="11">
        <f t="shared" si="40"/>
        <v>62.08424163</v>
      </c>
      <c r="F113" s="46">
        <f t="shared" si="41"/>
        <v>1196.172308</v>
      </c>
      <c r="G113" s="321">
        <v>19.0</v>
      </c>
      <c r="H113" s="14">
        <f>(220+304)*I113</f>
        <v>6812</v>
      </c>
      <c r="I113" s="322">
        <v>13.0</v>
      </c>
      <c r="J113" s="14">
        <f t="shared" si="42"/>
        <v>6</v>
      </c>
      <c r="K113" s="323">
        <v>2684.76</v>
      </c>
      <c r="L113" s="50">
        <f t="shared" si="43"/>
        <v>31.57894737</v>
      </c>
      <c r="M113" s="28"/>
      <c r="N113" s="3"/>
      <c r="P113" s="54"/>
      <c r="U113" s="3"/>
      <c r="V113" s="3"/>
      <c r="W113" s="3"/>
      <c r="X113" s="3"/>
    </row>
    <row r="114">
      <c r="A114" s="3"/>
      <c r="B114" s="57">
        <f t="shared" ref="B114:D114" si="45">SUM(B99:B113)</f>
        <v>252285</v>
      </c>
      <c r="C114" s="41">
        <f t="shared" si="45"/>
        <v>105502.56</v>
      </c>
      <c r="D114" s="53">
        <f t="shared" si="45"/>
        <v>146782.44</v>
      </c>
      <c r="E114" s="3"/>
      <c r="F114" s="3"/>
      <c r="G114" s="41">
        <f t="shared" ref="G114:K114" si="46">SUM(G99:G113)</f>
        <v>319</v>
      </c>
      <c r="H114" s="41">
        <f t="shared" si="46"/>
        <v>79753</v>
      </c>
      <c r="I114" s="41">
        <f t="shared" si="46"/>
        <v>241</v>
      </c>
      <c r="J114" s="41">
        <f t="shared" si="46"/>
        <v>78</v>
      </c>
      <c r="K114" s="41">
        <f t="shared" si="46"/>
        <v>25749.56</v>
      </c>
      <c r="L114" s="3"/>
      <c r="M114" s="258">
        <v>7100.0</v>
      </c>
      <c r="N114" s="3"/>
      <c r="P114" s="54"/>
      <c r="U114" s="3"/>
      <c r="V114" s="3"/>
      <c r="W114" s="3"/>
      <c r="X114" s="3"/>
    </row>
    <row r="115">
      <c r="P115" s="54"/>
      <c r="U115" s="3"/>
      <c r="V115" s="3"/>
      <c r="W115" s="3"/>
      <c r="X115" s="3"/>
    </row>
    <row r="116">
      <c r="P116" s="54"/>
      <c r="U116" s="3"/>
      <c r="V116" s="3"/>
      <c r="W116" s="3"/>
      <c r="X116" s="3"/>
    </row>
    <row r="117">
      <c r="A117" s="31" t="s">
        <v>40</v>
      </c>
      <c r="B117" s="36">
        <f>B114</f>
        <v>252285</v>
      </c>
      <c r="C117" s="3"/>
      <c r="D117" s="3"/>
      <c r="E117" s="3"/>
      <c r="U117" s="3"/>
      <c r="V117" s="3"/>
      <c r="W117" s="3"/>
    </row>
    <row r="118">
      <c r="A118" s="31" t="s">
        <v>41</v>
      </c>
      <c r="B118" s="36">
        <f>H114</f>
        <v>79753</v>
      </c>
      <c r="C118" s="3"/>
      <c r="D118" s="30"/>
      <c r="E118" s="3"/>
      <c r="L118" s="123" t="s">
        <v>40</v>
      </c>
      <c r="M118" s="285">
        <v>0.0</v>
      </c>
      <c r="U118" s="3"/>
      <c r="V118" s="3"/>
      <c r="W118" s="3"/>
    </row>
    <row r="119">
      <c r="A119" s="31" t="s">
        <v>69</v>
      </c>
      <c r="B119" s="36">
        <f>K114</f>
        <v>25749.56</v>
      </c>
      <c r="C119" s="3"/>
      <c r="D119" s="33" t="s">
        <v>41</v>
      </c>
      <c r="E119" s="34">
        <f>H114/I114</f>
        <v>330.9253112</v>
      </c>
      <c r="F119" s="168">
        <f>E119/E122</f>
        <v>0.3161226391</v>
      </c>
      <c r="L119" s="286" t="s">
        <v>172</v>
      </c>
      <c r="M119" s="287">
        <v>0.0</v>
      </c>
      <c r="U119" s="3"/>
      <c r="V119" s="3"/>
      <c r="W119" s="3"/>
    </row>
    <row r="120">
      <c r="A120" s="31" t="s">
        <v>44</v>
      </c>
      <c r="B120" s="36">
        <f>M114</f>
        <v>7100</v>
      </c>
      <c r="C120" s="3"/>
      <c r="D120" s="33" t="s">
        <v>42</v>
      </c>
      <c r="E120" s="34">
        <f>B117/M114</f>
        <v>35.53309859</v>
      </c>
      <c r="L120" s="288" t="s">
        <v>45</v>
      </c>
      <c r="M120" s="289" t="str">
        <f>M118/M119</f>
        <v>#DIV/0!</v>
      </c>
    </row>
    <row r="121">
      <c r="A121" s="31" t="s">
        <v>62</v>
      </c>
      <c r="B121" s="36">
        <f>B117-(sum(B118:B120))</f>
        <v>139682.44</v>
      </c>
      <c r="C121" s="3"/>
      <c r="D121" s="33" t="s">
        <v>63</v>
      </c>
      <c r="E121" s="34">
        <f>B119/E119</f>
        <v>77.81079032</v>
      </c>
      <c r="L121" s="290" t="s">
        <v>173</v>
      </c>
      <c r="M121" s="290">
        <v>0.0</v>
      </c>
    </row>
    <row r="122">
      <c r="A122" s="31" t="s">
        <v>47</v>
      </c>
      <c r="B122" s="62">
        <f>B121/B117*100</f>
        <v>55.36692233</v>
      </c>
      <c r="C122" s="3"/>
      <c r="D122" s="33" t="s">
        <v>45</v>
      </c>
      <c r="E122" s="34">
        <f>B117/I114</f>
        <v>1046.825726</v>
      </c>
      <c r="L122" s="292" t="s">
        <v>174</v>
      </c>
      <c r="M122" s="292">
        <v>0.0</v>
      </c>
    </row>
    <row r="127">
      <c r="A127" s="1" t="s">
        <v>192</v>
      </c>
      <c r="B127" s="2" t="s">
        <v>70</v>
      </c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S127" s="3"/>
      <c r="T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S128" s="3"/>
      <c r="T128" s="3"/>
    </row>
    <row r="129">
      <c r="A129" s="38" t="s">
        <v>49</v>
      </c>
      <c r="B129" s="24" t="s">
        <v>3</v>
      </c>
      <c r="C129" s="24" t="s">
        <v>4</v>
      </c>
      <c r="D129" s="24" t="s">
        <v>5</v>
      </c>
      <c r="E129" s="39" t="s">
        <v>6</v>
      </c>
      <c r="F129" s="24" t="s">
        <v>7</v>
      </c>
      <c r="G129" s="24" t="s">
        <v>71</v>
      </c>
      <c r="H129" s="24" t="s">
        <v>9</v>
      </c>
      <c r="I129" s="24" t="s">
        <v>72</v>
      </c>
      <c r="J129" s="24" t="s">
        <v>73</v>
      </c>
      <c r="K129" s="28" t="s">
        <v>43</v>
      </c>
      <c r="L129" s="3"/>
      <c r="M129" s="3"/>
      <c r="N129" s="3"/>
      <c r="S129" s="3"/>
      <c r="T129" s="3"/>
    </row>
    <row r="130">
      <c r="A130" s="42" t="s">
        <v>21</v>
      </c>
      <c r="B130" s="305">
        <f>689*H130</f>
        <v>90259</v>
      </c>
      <c r="C130" s="63">
        <f t="shared" ref="C130:C133" si="47">J130+G130+I130+K130</f>
        <v>28820</v>
      </c>
      <c r="D130" s="45">
        <f t="shared" ref="D130:D133" si="48">B130-C130</f>
        <v>61439</v>
      </c>
      <c r="E130" s="11">
        <f t="shared" ref="E130:E133" si="49">D130/B130*100</f>
        <v>68.06966618</v>
      </c>
      <c r="F130" s="46">
        <f t="shared" ref="F130:F133" si="50">D130/H130</f>
        <v>469</v>
      </c>
      <c r="G130" s="14">
        <f>200*H130</f>
        <v>26200</v>
      </c>
      <c r="H130" s="48">
        <v>131.0</v>
      </c>
      <c r="I130" s="14">
        <v>0.0</v>
      </c>
      <c r="J130" s="64">
        <v>0.0</v>
      </c>
      <c r="K130" s="65">
        <f t="shared" ref="K130:K133" si="51">20*H130</f>
        <v>2620</v>
      </c>
      <c r="L130" s="53"/>
      <c r="M130" s="41"/>
      <c r="N130" s="3"/>
      <c r="S130" s="3"/>
      <c r="T130" s="3"/>
    </row>
    <row r="131">
      <c r="A131" s="42" t="s">
        <v>26</v>
      </c>
      <c r="B131" s="43">
        <f>359*H131</f>
        <v>33028</v>
      </c>
      <c r="C131" s="63">
        <f t="shared" si="47"/>
        <v>18768</v>
      </c>
      <c r="D131" s="45">
        <f t="shared" si="48"/>
        <v>14260</v>
      </c>
      <c r="E131" s="11">
        <f t="shared" si="49"/>
        <v>43.17548747</v>
      </c>
      <c r="F131" s="46">
        <f t="shared" si="50"/>
        <v>155</v>
      </c>
      <c r="G131" s="14">
        <f>184*H131</f>
        <v>16928</v>
      </c>
      <c r="H131" s="48">
        <v>92.0</v>
      </c>
      <c r="I131" s="14">
        <v>0.0</v>
      </c>
      <c r="J131" s="64">
        <v>0.0</v>
      </c>
      <c r="K131" s="65">
        <f t="shared" si="51"/>
        <v>1840</v>
      </c>
      <c r="L131" s="53"/>
      <c r="M131" s="3"/>
      <c r="N131" s="3"/>
      <c r="S131" s="3"/>
      <c r="T131" s="3"/>
    </row>
    <row r="132">
      <c r="A132" s="42" t="s">
        <v>23</v>
      </c>
      <c r="B132" s="43">
        <f>781*H132</f>
        <v>49984</v>
      </c>
      <c r="C132" s="44">
        <f t="shared" si="47"/>
        <v>20736</v>
      </c>
      <c r="D132" s="45">
        <f t="shared" si="48"/>
        <v>29248</v>
      </c>
      <c r="E132" s="11">
        <f t="shared" si="49"/>
        <v>58.51472471</v>
      </c>
      <c r="F132" s="46">
        <f t="shared" si="50"/>
        <v>457</v>
      </c>
      <c r="G132" s="14">
        <f>304*H132</f>
        <v>19456</v>
      </c>
      <c r="H132" s="48">
        <v>64.0</v>
      </c>
      <c r="I132" s="14">
        <v>0.0</v>
      </c>
      <c r="J132" s="66">
        <f t="shared" ref="J132:J133" si="52">L132%*M132</f>
        <v>0</v>
      </c>
      <c r="K132" s="65">
        <f t="shared" si="51"/>
        <v>1280</v>
      </c>
      <c r="L132" s="3"/>
      <c r="M132" s="3"/>
      <c r="N132" s="3"/>
      <c r="S132" s="3"/>
      <c r="T132" s="3"/>
    </row>
    <row r="133">
      <c r="A133" s="42" t="s">
        <v>29</v>
      </c>
      <c r="B133" s="43">
        <f>843*H133</f>
        <v>53952</v>
      </c>
      <c r="C133" s="44">
        <f t="shared" si="47"/>
        <v>20992</v>
      </c>
      <c r="D133" s="45">
        <f t="shared" si="48"/>
        <v>32960</v>
      </c>
      <c r="E133" s="11">
        <f t="shared" si="49"/>
        <v>61.09134045</v>
      </c>
      <c r="F133" s="46">
        <f t="shared" si="50"/>
        <v>515</v>
      </c>
      <c r="G133" s="14">
        <f>308*H133</f>
        <v>19712</v>
      </c>
      <c r="H133" s="48">
        <v>64.0</v>
      </c>
      <c r="I133" s="14">
        <v>0.0</v>
      </c>
      <c r="J133" s="66">
        <f t="shared" si="52"/>
        <v>0</v>
      </c>
      <c r="K133" s="65">
        <f t="shared" si="51"/>
        <v>1280</v>
      </c>
      <c r="L133" s="3"/>
      <c r="M133" s="3"/>
      <c r="N133" s="3"/>
      <c r="S133" s="3"/>
      <c r="T133" s="3"/>
    </row>
    <row r="134">
      <c r="A134" s="3"/>
      <c r="B134" s="41">
        <f>SUM(B130:B133)</f>
        <v>227223</v>
      </c>
      <c r="C134" s="67"/>
      <c r="D134" s="53">
        <f t="shared" ref="D134:H134" si="53">SUM(D130:D133)</f>
        <v>137907</v>
      </c>
      <c r="E134" s="68">
        <f t="shared" si="53"/>
        <v>230.8512188</v>
      </c>
      <c r="F134" s="68">
        <f t="shared" si="53"/>
        <v>1596</v>
      </c>
      <c r="G134" s="41">
        <f t="shared" si="53"/>
        <v>82296</v>
      </c>
      <c r="H134" s="41">
        <f t="shared" si="53"/>
        <v>351</v>
      </c>
      <c r="I134" s="41"/>
      <c r="J134" s="62">
        <v>37929.0</v>
      </c>
      <c r="K134" s="41">
        <f>SUM(K130:K133)</f>
        <v>7020</v>
      </c>
      <c r="L134" s="3"/>
      <c r="M134" s="3"/>
      <c r="N134" s="3"/>
      <c r="P134" s="3"/>
      <c r="Q134" s="3"/>
      <c r="R134" s="3"/>
      <c r="S134" s="3"/>
      <c r="T134" s="3"/>
      <c r="Y134" s="3"/>
      <c r="Z134" s="3"/>
    </row>
    <row r="135">
      <c r="B135" s="113"/>
    </row>
    <row r="137">
      <c r="A137" s="31" t="s">
        <v>40</v>
      </c>
      <c r="B137" s="36">
        <f>B134</f>
        <v>227223</v>
      </c>
      <c r="C137" s="3"/>
      <c r="D137" s="101" t="s">
        <v>39</v>
      </c>
      <c r="E137" s="28"/>
    </row>
    <row r="138">
      <c r="A138" s="31" t="s">
        <v>41</v>
      </c>
      <c r="B138" s="36">
        <f>G134</f>
        <v>82296</v>
      </c>
      <c r="C138" s="3"/>
      <c r="D138" s="33" t="s">
        <v>41</v>
      </c>
      <c r="E138" s="34">
        <f>B138/H134</f>
        <v>234.4615385</v>
      </c>
      <c r="F138" s="326"/>
    </row>
    <row r="139">
      <c r="A139" s="31" t="s">
        <v>74</v>
      </c>
      <c r="B139" s="36">
        <f>K134</f>
        <v>7020</v>
      </c>
      <c r="C139" s="3"/>
      <c r="D139" s="33" t="s">
        <v>42</v>
      </c>
      <c r="E139" s="34">
        <f>B140/H134</f>
        <v>108.0598291</v>
      </c>
    </row>
    <row r="140">
      <c r="A140" s="31" t="s">
        <v>75</v>
      </c>
      <c r="B140" s="36">
        <f>J134</f>
        <v>37929</v>
      </c>
      <c r="C140" s="3"/>
      <c r="D140" s="69" t="s">
        <v>43</v>
      </c>
      <c r="E140" s="34">
        <f>K134/H134</f>
        <v>20</v>
      </c>
    </row>
    <row r="141">
      <c r="A141" s="31" t="s">
        <v>62</v>
      </c>
      <c r="B141" s="36">
        <f>B137-SUM(B138:B140)</f>
        <v>99978</v>
      </c>
      <c r="C141" s="3"/>
      <c r="D141" s="33" t="s">
        <v>45</v>
      </c>
      <c r="E141" s="34">
        <f>B137/H134</f>
        <v>647.3589744</v>
      </c>
    </row>
    <row r="142">
      <c r="A142" s="31" t="s">
        <v>47</v>
      </c>
      <c r="B142" s="36">
        <f>B141/B137*100</f>
        <v>43.99994719</v>
      </c>
      <c r="C142" s="3"/>
      <c r="D142" s="3"/>
      <c r="E142" s="3"/>
    </row>
    <row r="143">
      <c r="B143" s="58"/>
    </row>
    <row r="146">
      <c r="X146" s="3"/>
    </row>
    <row r="147">
      <c r="X147" s="3"/>
    </row>
    <row r="148">
      <c r="A148" s="1" t="s">
        <v>192</v>
      </c>
      <c r="B148" s="2" t="s">
        <v>76</v>
      </c>
      <c r="C148" s="3"/>
      <c r="D148" s="3"/>
      <c r="E148" s="3"/>
      <c r="F148" s="3"/>
      <c r="G148" s="3"/>
      <c r="H148" s="3"/>
      <c r="I148" s="3"/>
      <c r="J148" s="3"/>
      <c r="K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U149" s="3"/>
      <c r="V149" s="3"/>
      <c r="W149" s="3"/>
    </row>
    <row r="150">
      <c r="A150" s="38" t="s">
        <v>49</v>
      </c>
      <c r="B150" s="24" t="s">
        <v>3</v>
      </c>
      <c r="C150" s="24" t="s">
        <v>4</v>
      </c>
      <c r="D150" s="24" t="s">
        <v>5</v>
      </c>
      <c r="E150" s="39" t="s">
        <v>6</v>
      </c>
      <c r="F150" s="24" t="s">
        <v>7</v>
      </c>
      <c r="G150" s="24" t="s">
        <v>71</v>
      </c>
      <c r="H150" s="24" t="s">
        <v>9</v>
      </c>
      <c r="I150" s="24" t="s">
        <v>77</v>
      </c>
      <c r="J150" s="24" t="s">
        <v>73</v>
      </c>
      <c r="K150" s="28" t="s">
        <v>43</v>
      </c>
      <c r="U150" s="3"/>
      <c r="V150" s="3"/>
      <c r="W150" s="3"/>
    </row>
    <row r="151">
      <c r="A151" s="42" t="s">
        <v>21</v>
      </c>
      <c r="B151" s="43">
        <f>727*H151</f>
        <v>13813</v>
      </c>
      <c r="C151" s="44">
        <f t="shared" ref="C151:C153" si="54">J151+G151+I151+K151</f>
        <v>4560</v>
      </c>
      <c r="D151" s="45">
        <f t="shared" ref="D151:D154" si="55">B151-C151</f>
        <v>9253</v>
      </c>
      <c r="E151" s="11">
        <f t="shared" ref="E151:E153" si="56">D151/B151*100</f>
        <v>66.98762036</v>
      </c>
      <c r="F151" s="46">
        <f t="shared" ref="F151:F153" si="57">D151/H151</f>
        <v>487</v>
      </c>
      <c r="G151" s="14">
        <f>220*H151</f>
        <v>4180</v>
      </c>
      <c r="H151" s="48">
        <v>19.0</v>
      </c>
      <c r="I151" s="14">
        <v>0.0</v>
      </c>
      <c r="J151" s="66">
        <v>0.0</v>
      </c>
      <c r="K151" s="65">
        <f t="shared" ref="K151:K153" si="58">20*H151</f>
        <v>380</v>
      </c>
    </row>
    <row r="152">
      <c r="A152" s="42" t="s">
        <v>26</v>
      </c>
      <c r="B152" s="43">
        <f>385*H152</f>
        <v>17325</v>
      </c>
      <c r="C152" s="44">
        <f t="shared" si="54"/>
        <v>9180</v>
      </c>
      <c r="D152" s="45">
        <f t="shared" si="55"/>
        <v>8145</v>
      </c>
      <c r="E152" s="11">
        <f t="shared" si="56"/>
        <v>47.01298701</v>
      </c>
      <c r="F152" s="46">
        <f t="shared" si="57"/>
        <v>181</v>
      </c>
      <c r="G152" s="14">
        <f>184*H152</f>
        <v>8280</v>
      </c>
      <c r="H152" s="48">
        <v>45.0</v>
      </c>
      <c r="I152" s="14">
        <v>0.0</v>
      </c>
      <c r="J152" s="66">
        <v>0.0</v>
      </c>
      <c r="K152" s="65">
        <f t="shared" si="58"/>
        <v>900</v>
      </c>
    </row>
    <row r="153">
      <c r="A153" s="42" t="s">
        <v>23</v>
      </c>
      <c r="B153" s="43">
        <f>801*H153</f>
        <v>10413</v>
      </c>
      <c r="C153" s="44">
        <f t="shared" si="54"/>
        <v>4277</v>
      </c>
      <c r="D153" s="45">
        <f t="shared" si="55"/>
        <v>6136</v>
      </c>
      <c r="E153" s="11">
        <f t="shared" si="56"/>
        <v>58.92634207</v>
      </c>
      <c r="F153" s="46">
        <f t="shared" si="57"/>
        <v>472</v>
      </c>
      <c r="G153" s="14">
        <f>309*H153</f>
        <v>4017</v>
      </c>
      <c r="H153" s="48">
        <v>13.0</v>
      </c>
      <c r="I153" s="14">
        <v>0.0</v>
      </c>
      <c r="J153" s="66">
        <v>0.0</v>
      </c>
      <c r="K153" s="65">
        <f t="shared" si="58"/>
        <v>260</v>
      </c>
    </row>
    <row r="154">
      <c r="A154" s="3"/>
      <c r="B154" s="41">
        <f t="shared" ref="B154:C154" si="59">SUM(B151:B153)</f>
        <v>41551</v>
      </c>
      <c r="C154" s="41">
        <f t="shared" si="59"/>
        <v>18017</v>
      </c>
      <c r="D154" s="41">
        <f t="shared" si="55"/>
        <v>23534</v>
      </c>
      <c r="E154" s="3"/>
      <c r="F154" s="3">
        <v>6.0</v>
      </c>
      <c r="G154" s="41">
        <f t="shared" ref="G154:H154" si="60">SUM(G151:G153)</f>
        <v>16477</v>
      </c>
      <c r="H154" s="41">
        <f t="shared" si="60"/>
        <v>77</v>
      </c>
      <c r="I154" s="3"/>
      <c r="J154" s="3">
        <v>0.0</v>
      </c>
      <c r="K154" s="41">
        <f>SUM(K151:K153)</f>
        <v>1540</v>
      </c>
    </row>
    <row r="156">
      <c r="A156" s="31" t="s">
        <v>40</v>
      </c>
      <c r="B156" s="32">
        <f>B154</f>
        <v>41551</v>
      </c>
      <c r="C156" s="3"/>
      <c r="D156" s="30" t="s">
        <v>39</v>
      </c>
      <c r="E156" s="3"/>
    </row>
    <row r="157">
      <c r="A157" s="31" t="s">
        <v>41</v>
      </c>
      <c r="B157" s="32">
        <f>G154</f>
        <v>16477</v>
      </c>
      <c r="C157" s="3"/>
      <c r="D157" s="33" t="s">
        <v>41</v>
      </c>
      <c r="E157" s="34">
        <f>B157/H154</f>
        <v>213.987013</v>
      </c>
      <c r="F157" s="326">
        <f>E157/E160</f>
        <v>0.3965488195</v>
      </c>
    </row>
    <row r="158">
      <c r="A158" s="31" t="s">
        <v>74</v>
      </c>
      <c r="B158" s="32">
        <f>K154</f>
        <v>1540</v>
      </c>
      <c r="C158" s="3"/>
      <c r="D158" s="33" t="s">
        <v>42</v>
      </c>
      <c r="E158" s="34">
        <f>B159/H154</f>
        <v>0</v>
      </c>
    </row>
    <row r="159">
      <c r="A159" s="31" t="s">
        <v>75</v>
      </c>
      <c r="B159" s="32">
        <f>I154+J154</f>
        <v>0</v>
      </c>
      <c r="C159" s="3"/>
      <c r="D159" s="69" t="s">
        <v>43</v>
      </c>
      <c r="E159" s="34">
        <f>B158/H154</f>
        <v>20</v>
      </c>
    </row>
    <row r="160">
      <c r="A160" s="31" t="s">
        <v>62</v>
      </c>
      <c r="B160" s="32">
        <f>B156-SUM(B157:B159)</f>
        <v>23534</v>
      </c>
      <c r="C160" s="3"/>
      <c r="D160" s="33" t="s">
        <v>45</v>
      </c>
      <c r="E160" s="34">
        <f>B156/H154</f>
        <v>539.6233766</v>
      </c>
    </row>
    <row r="161">
      <c r="A161" s="31" t="s">
        <v>47</v>
      </c>
      <c r="B161" s="62">
        <f>B160/B156*100</f>
        <v>56.63882939</v>
      </c>
      <c r="C161" s="3"/>
      <c r="D161" s="3"/>
      <c r="E161" s="3"/>
    </row>
    <row r="164">
      <c r="A164" s="1" t="s">
        <v>192</v>
      </c>
      <c r="B164" s="2" t="s">
        <v>78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S164" s="3"/>
      <c r="T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S165" s="3"/>
      <c r="T165" s="3"/>
    </row>
    <row r="166">
      <c r="A166" s="38" t="s">
        <v>49</v>
      </c>
      <c r="B166" s="24" t="s">
        <v>3</v>
      </c>
      <c r="C166" s="24" t="s">
        <v>4</v>
      </c>
      <c r="D166" s="24" t="s">
        <v>5</v>
      </c>
      <c r="E166" s="39" t="s">
        <v>6</v>
      </c>
      <c r="F166" s="24" t="s">
        <v>7</v>
      </c>
      <c r="G166" s="24" t="s">
        <v>11</v>
      </c>
      <c r="H166" s="24" t="s">
        <v>12</v>
      </c>
      <c r="I166" s="3"/>
      <c r="J166" s="3"/>
      <c r="K166" s="3"/>
      <c r="L166" s="3"/>
    </row>
    <row r="167">
      <c r="A167" s="42" t="s">
        <v>21</v>
      </c>
      <c r="B167" s="348">
        <v>67763.28</v>
      </c>
      <c r="C167" s="44">
        <f t="shared" ref="C167:C183" si="61">G167</f>
        <v>26620</v>
      </c>
      <c r="D167" s="45">
        <f t="shared" ref="D167:D183" si="62">B167-C167</f>
        <v>41143.28</v>
      </c>
      <c r="E167" s="11">
        <f t="shared" ref="E167:E183" si="63">D167/B167*100</f>
        <v>60.71618729</v>
      </c>
      <c r="F167" s="46">
        <f t="shared" ref="F167:F183" si="64">D167/H167</f>
        <v>340.0271074</v>
      </c>
      <c r="G167" s="14">
        <f>220*H167</f>
        <v>26620</v>
      </c>
      <c r="H167" s="349">
        <v>121.0</v>
      </c>
      <c r="I167" s="3"/>
      <c r="J167" s="3"/>
      <c r="K167" s="3"/>
      <c r="L167" s="3"/>
    </row>
    <row r="168">
      <c r="A168" s="42" t="s">
        <v>23</v>
      </c>
      <c r="B168" s="348">
        <v>38518.16</v>
      </c>
      <c r="C168" s="44">
        <f t="shared" si="61"/>
        <v>19456</v>
      </c>
      <c r="D168" s="45">
        <f t="shared" si="62"/>
        <v>19062.16</v>
      </c>
      <c r="E168" s="11">
        <f t="shared" si="63"/>
        <v>49.48876063</v>
      </c>
      <c r="F168" s="46">
        <f t="shared" si="64"/>
        <v>297.84625</v>
      </c>
      <c r="G168" s="14">
        <f>304*H168</f>
        <v>19456</v>
      </c>
      <c r="H168" s="349">
        <v>64.0</v>
      </c>
      <c r="I168" s="3"/>
      <c r="J168" s="3"/>
      <c r="K168" s="3"/>
      <c r="L168" s="3"/>
    </row>
    <row r="169">
      <c r="A169" s="42" t="s">
        <v>25</v>
      </c>
      <c r="B169" s="348">
        <v>18580.26</v>
      </c>
      <c r="C169" s="44">
        <f t="shared" si="61"/>
        <v>13902</v>
      </c>
      <c r="D169" s="45">
        <f t="shared" si="62"/>
        <v>4678.26</v>
      </c>
      <c r="E169" s="11">
        <f t="shared" si="63"/>
        <v>25.17865735</v>
      </c>
      <c r="F169" s="46">
        <f t="shared" si="64"/>
        <v>222.7742857</v>
      </c>
      <c r="G169" s="14">
        <f> 662*H169</f>
        <v>13902</v>
      </c>
      <c r="H169" s="349">
        <v>21.0</v>
      </c>
      <c r="I169" s="3"/>
      <c r="J169" s="3"/>
      <c r="K169" s="3"/>
      <c r="L169" s="3"/>
    </row>
    <row r="170">
      <c r="A170" s="42" t="s">
        <v>26</v>
      </c>
      <c r="B170" s="348">
        <v>8804.8</v>
      </c>
      <c r="C170" s="44">
        <f t="shared" si="61"/>
        <v>5888</v>
      </c>
      <c r="D170" s="45">
        <f t="shared" si="62"/>
        <v>2916.8</v>
      </c>
      <c r="E170" s="11">
        <f t="shared" si="63"/>
        <v>33.12738506</v>
      </c>
      <c r="F170" s="46">
        <f t="shared" si="64"/>
        <v>91.15</v>
      </c>
      <c r="G170" s="14">
        <f>184*H170</f>
        <v>5888</v>
      </c>
      <c r="H170" s="349">
        <v>32.0</v>
      </c>
      <c r="I170" s="3"/>
      <c r="J170" s="3"/>
      <c r="K170" s="3"/>
      <c r="L170" s="3"/>
    </row>
    <row r="171">
      <c r="A171" s="42" t="s">
        <v>197</v>
      </c>
      <c r="B171" s="348">
        <v>770.8</v>
      </c>
      <c r="C171" s="44">
        <f t="shared" si="61"/>
        <v>552</v>
      </c>
      <c r="D171" s="45">
        <f t="shared" si="62"/>
        <v>218.8</v>
      </c>
      <c r="E171" s="11">
        <f t="shared" si="63"/>
        <v>28.38609237</v>
      </c>
      <c r="F171" s="46">
        <f t="shared" si="64"/>
        <v>218.8</v>
      </c>
      <c r="G171" s="14">
        <f>(184*3)*H171</f>
        <v>552</v>
      </c>
      <c r="H171" s="349">
        <v>1.0</v>
      </c>
      <c r="I171" s="3"/>
      <c r="J171" s="3"/>
      <c r="K171" s="3"/>
      <c r="L171" s="3"/>
    </row>
    <row r="172">
      <c r="A172" s="42" t="s">
        <v>29</v>
      </c>
      <c r="B172" s="348">
        <v>26127.33</v>
      </c>
      <c r="C172" s="44">
        <f t="shared" si="61"/>
        <v>14400</v>
      </c>
      <c r="D172" s="45">
        <f t="shared" si="62"/>
        <v>11727.33</v>
      </c>
      <c r="E172" s="11">
        <f t="shared" si="63"/>
        <v>44.88529827</v>
      </c>
      <c r="F172" s="46">
        <f t="shared" si="64"/>
        <v>260.6073333</v>
      </c>
      <c r="G172" s="14">
        <f>320*H172</f>
        <v>14400</v>
      </c>
      <c r="H172" s="349">
        <v>45.0</v>
      </c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A173" s="42" t="s">
        <v>33</v>
      </c>
      <c r="B173" s="348">
        <v>112509.71</v>
      </c>
      <c r="C173" s="44">
        <f t="shared" si="61"/>
        <v>87136</v>
      </c>
      <c r="D173" s="45">
        <f t="shared" si="62"/>
        <v>25373.71</v>
      </c>
      <c r="E173" s="11">
        <f t="shared" si="63"/>
        <v>22.55246236</v>
      </c>
      <c r="F173" s="46">
        <f t="shared" si="64"/>
        <v>226.5509821</v>
      </c>
      <c r="G173" s="14">
        <f>778*H173</f>
        <v>87136</v>
      </c>
      <c r="H173" s="349">
        <v>112.0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A174" s="211" t="s">
        <v>131</v>
      </c>
      <c r="B174" s="348">
        <v>3107.49</v>
      </c>
      <c r="C174" s="44">
        <f t="shared" si="61"/>
        <v>2700</v>
      </c>
      <c r="D174" s="45">
        <f t="shared" si="62"/>
        <v>407.49</v>
      </c>
      <c r="E174" s="11">
        <f t="shared" si="63"/>
        <v>13.11315563</v>
      </c>
      <c r="F174" s="46">
        <f t="shared" si="64"/>
        <v>135.83</v>
      </c>
      <c r="G174" s="14">
        <f>900*H174</f>
        <v>2700</v>
      </c>
      <c r="H174" s="349">
        <v>3.0</v>
      </c>
      <c r="I174" s="3"/>
      <c r="J174" s="3"/>
      <c r="K174" s="3"/>
      <c r="L174" s="3"/>
    </row>
    <row r="175">
      <c r="A175" s="42" t="s">
        <v>161</v>
      </c>
      <c r="B175" s="348">
        <v>14226.34</v>
      </c>
      <c r="C175" s="44">
        <f t="shared" si="61"/>
        <v>11746</v>
      </c>
      <c r="D175" s="45">
        <f t="shared" si="62"/>
        <v>2480.34</v>
      </c>
      <c r="E175" s="11">
        <f t="shared" si="63"/>
        <v>17.43484269</v>
      </c>
      <c r="F175" s="46">
        <f t="shared" si="64"/>
        <v>354.3342857</v>
      </c>
      <c r="G175" s="14">
        <f>(778+900)*H175</f>
        <v>11746</v>
      </c>
      <c r="H175" s="349">
        <v>7.0</v>
      </c>
      <c r="I175" s="3"/>
      <c r="J175" s="3"/>
      <c r="K175" s="3"/>
      <c r="L175" s="3"/>
    </row>
    <row r="176" ht="14.25" customHeight="1">
      <c r="A176" s="42" t="s">
        <v>198</v>
      </c>
      <c r="B176" s="348">
        <v>7599.2</v>
      </c>
      <c r="C176" s="44">
        <f t="shared" si="61"/>
        <v>5040</v>
      </c>
      <c r="D176" s="45">
        <f t="shared" si="62"/>
        <v>2559.2</v>
      </c>
      <c r="E176" s="11">
        <f t="shared" si="63"/>
        <v>33.67722918</v>
      </c>
      <c r="F176" s="46">
        <f t="shared" si="64"/>
        <v>255.92</v>
      </c>
      <c r="G176" s="14">
        <f>(184+320)*H176</f>
        <v>5040</v>
      </c>
      <c r="H176" s="349">
        <v>10.0</v>
      </c>
    </row>
    <row r="177">
      <c r="A177" s="42" t="s">
        <v>56</v>
      </c>
      <c r="B177" s="348">
        <f>14245+4166.92
</f>
        <v>18411.92</v>
      </c>
      <c r="C177" s="44">
        <f t="shared" si="61"/>
        <v>9432</v>
      </c>
      <c r="D177" s="45">
        <f t="shared" si="62"/>
        <v>8979.92</v>
      </c>
      <c r="E177" s="11">
        <f t="shared" si="63"/>
        <v>48.77231706</v>
      </c>
      <c r="F177" s="46">
        <f t="shared" si="64"/>
        <v>498.8844444</v>
      </c>
      <c r="G177" s="14">
        <f>(220+304)*H177</f>
        <v>9432</v>
      </c>
      <c r="H177" s="349">
        <f>14+4</f>
        <v>18</v>
      </c>
      <c r="I177" s="3"/>
      <c r="J177" s="3"/>
      <c r="K177" s="3"/>
      <c r="L177" s="3"/>
      <c r="N177" s="3"/>
    </row>
    <row r="178">
      <c r="A178" s="42" t="s">
        <v>57</v>
      </c>
      <c r="B178" s="348">
        <v>2230.04</v>
      </c>
      <c r="C178" s="44">
        <f t="shared" si="61"/>
        <v>1116</v>
      </c>
      <c r="D178" s="45">
        <f t="shared" si="62"/>
        <v>1114.04</v>
      </c>
      <c r="E178" s="11">
        <f t="shared" si="63"/>
        <v>49.9560546</v>
      </c>
      <c r="F178" s="46">
        <f t="shared" si="64"/>
        <v>557.02</v>
      </c>
      <c r="G178" s="14">
        <f>(250+308)*H178</f>
        <v>1116</v>
      </c>
      <c r="H178" s="349">
        <v>2.0</v>
      </c>
      <c r="I178" s="3"/>
      <c r="J178" s="3"/>
      <c r="K178" s="3"/>
      <c r="L178" s="3"/>
    </row>
    <row r="179">
      <c r="A179" s="42" t="s">
        <v>58</v>
      </c>
      <c r="B179" s="348">
        <v>7695.0</v>
      </c>
      <c r="C179" s="44">
        <f t="shared" si="61"/>
        <v>4392</v>
      </c>
      <c r="D179" s="45">
        <f t="shared" si="62"/>
        <v>3303</v>
      </c>
      <c r="E179" s="11">
        <f t="shared" si="63"/>
        <v>42.92397661</v>
      </c>
      <c r="F179" s="46">
        <f t="shared" si="64"/>
        <v>367</v>
      </c>
      <c r="G179" s="14">
        <f>(304+184)*H179</f>
        <v>4392</v>
      </c>
      <c r="H179" s="349">
        <v>9.0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A180" s="42" t="s">
        <v>199</v>
      </c>
      <c r="B180" s="348">
        <v>12213.76</v>
      </c>
      <c r="C180" s="44">
        <f t="shared" si="61"/>
        <v>8656</v>
      </c>
      <c r="D180" s="45">
        <f t="shared" si="62"/>
        <v>3557.76</v>
      </c>
      <c r="E180" s="11">
        <f t="shared" si="63"/>
        <v>29.12911339</v>
      </c>
      <c r="F180" s="46">
        <f t="shared" si="64"/>
        <v>444.72</v>
      </c>
      <c r="G180" s="14">
        <f>(304+778)*H180</f>
        <v>8656</v>
      </c>
      <c r="H180" s="349">
        <v>8.0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A181" s="42" t="s">
        <v>200</v>
      </c>
      <c r="B181" s="348">
        <v>1017.78</v>
      </c>
      <c r="C181" s="44">
        <f t="shared" si="61"/>
        <v>220</v>
      </c>
      <c r="D181" s="45">
        <f t="shared" si="62"/>
        <v>797.78</v>
      </c>
      <c r="E181" s="11">
        <f t="shared" si="63"/>
        <v>78.38432667</v>
      </c>
      <c r="F181" s="46">
        <f t="shared" si="64"/>
        <v>797.78</v>
      </c>
      <c r="G181" s="14">
        <f>220*H181</f>
        <v>220</v>
      </c>
      <c r="H181" s="349">
        <v>1.0</v>
      </c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A182" s="42" t="s">
        <v>194</v>
      </c>
      <c r="B182" s="348">
        <v>9910.26</v>
      </c>
      <c r="C182" s="44">
        <f t="shared" si="61"/>
        <v>5940</v>
      </c>
      <c r="D182" s="45">
        <f t="shared" si="62"/>
        <v>3970.26</v>
      </c>
      <c r="E182" s="11">
        <f t="shared" si="63"/>
        <v>40.06211744</v>
      </c>
      <c r="F182" s="46">
        <f t="shared" si="64"/>
        <v>220.57</v>
      </c>
      <c r="G182" s="14">
        <f t="shared" ref="G182:G183" si="65">330*H182</f>
        <v>5940</v>
      </c>
      <c r="H182" s="349">
        <v>18.0</v>
      </c>
      <c r="I182" s="3"/>
      <c r="J182" s="157"/>
      <c r="K182" s="157"/>
      <c r="L182" s="157"/>
      <c r="M182" s="3"/>
      <c r="N182" s="3"/>
      <c r="O182" s="3"/>
      <c r="P182" s="3"/>
      <c r="Q182" s="3"/>
      <c r="R182" s="3"/>
    </row>
    <row r="183">
      <c r="A183" s="42" t="s">
        <v>195</v>
      </c>
      <c r="B183" s="350">
        <v>3303.42</v>
      </c>
      <c r="C183" s="44">
        <f t="shared" si="61"/>
        <v>1980</v>
      </c>
      <c r="D183" s="45">
        <f t="shared" si="62"/>
        <v>1323.42</v>
      </c>
      <c r="E183" s="11">
        <f t="shared" si="63"/>
        <v>40.06211744</v>
      </c>
      <c r="F183" s="46">
        <f t="shared" si="64"/>
        <v>220.57</v>
      </c>
      <c r="G183" s="14">
        <f t="shared" si="65"/>
        <v>1980</v>
      </c>
      <c r="H183" s="349">
        <v>6.0</v>
      </c>
      <c r="I183" s="3"/>
      <c r="J183" s="157"/>
      <c r="K183" s="157"/>
      <c r="L183" s="157"/>
      <c r="M183" s="3"/>
      <c r="N183" s="3"/>
      <c r="O183" s="3"/>
      <c r="P183" s="3"/>
      <c r="Q183" s="3"/>
      <c r="R183" s="3"/>
    </row>
    <row r="184">
      <c r="A184" s="3" t="s">
        <v>38</v>
      </c>
      <c r="B184" s="57">
        <f t="shared" ref="B184:D184" si="66">SUM(B167:B183)</f>
        <v>352789.55</v>
      </c>
      <c r="C184" s="41">
        <f t="shared" si="66"/>
        <v>219176</v>
      </c>
      <c r="D184" s="53">
        <f t="shared" si="66"/>
        <v>133613.55</v>
      </c>
      <c r="E184" s="3"/>
      <c r="F184" s="3"/>
      <c r="G184" s="41">
        <f t="shared" ref="G184:H184" si="67">SUM(G167:G183)</f>
        <v>219176</v>
      </c>
      <c r="H184" s="41">
        <f t="shared" si="67"/>
        <v>478</v>
      </c>
      <c r="I184" s="3"/>
      <c r="J184" s="157"/>
      <c r="K184" s="157"/>
      <c r="L184" s="157"/>
      <c r="M184" s="3"/>
      <c r="N184" s="3"/>
      <c r="O184" s="3"/>
      <c r="P184" s="3"/>
      <c r="Q184" s="3"/>
      <c r="R184" s="3"/>
    </row>
    <row r="185">
      <c r="J185" s="70"/>
      <c r="K185" s="70"/>
      <c r="L185" s="70"/>
    </row>
    <row r="186">
      <c r="A186" s="31" t="s">
        <v>40</v>
      </c>
      <c r="B186" s="36">
        <f>B184</f>
        <v>352789.55</v>
      </c>
      <c r="C186" s="3"/>
      <c r="D186" s="30"/>
      <c r="E186" s="3"/>
      <c r="J186" s="70"/>
      <c r="K186" s="70"/>
      <c r="L186" s="70"/>
    </row>
    <row r="187">
      <c r="A187" s="31" t="s">
        <v>41</v>
      </c>
      <c r="B187" s="32">
        <f>G184</f>
        <v>219176</v>
      </c>
      <c r="C187" s="3"/>
      <c r="D187" s="33" t="s">
        <v>41</v>
      </c>
      <c r="E187" s="34">
        <f>B187/H184</f>
        <v>458.5271967</v>
      </c>
      <c r="F187" s="113"/>
      <c r="J187" s="70"/>
      <c r="K187" s="259"/>
      <c r="L187" s="306"/>
    </row>
    <row r="188">
      <c r="A188" s="31" t="s">
        <v>74</v>
      </c>
      <c r="B188" s="32">
        <v>0.0</v>
      </c>
      <c r="C188" s="3"/>
      <c r="D188" s="33" t="s">
        <v>42</v>
      </c>
      <c r="E188" s="34">
        <f>B189</f>
        <v>0</v>
      </c>
      <c r="J188" s="70"/>
      <c r="K188" s="301"/>
      <c r="L188" s="301"/>
    </row>
    <row r="189">
      <c r="A189" s="31" t="s">
        <v>75</v>
      </c>
      <c r="B189" s="32">
        <f>I182+J182</f>
        <v>0</v>
      </c>
      <c r="C189" s="3"/>
      <c r="D189" s="69" t="s">
        <v>43</v>
      </c>
      <c r="E189" s="34">
        <f>B188/H184</f>
        <v>0</v>
      </c>
      <c r="J189" s="70"/>
      <c r="K189" s="301"/>
      <c r="L189" s="301"/>
    </row>
    <row r="190">
      <c r="A190" s="31" t="s">
        <v>62</v>
      </c>
      <c r="B190" s="36">
        <f>B186-SUM(B187:B189)</f>
        <v>133613.55</v>
      </c>
      <c r="C190" s="3"/>
      <c r="D190" s="33" t="s">
        <v>45</v>
      </c>
      <c r="E190" s="34">
        <f>B186/H184</f>
        <v>738.0534519</v>
      </c>
    </row>
    <row r="191">
      <c r="A191" s="31" t="s">
        <v>47</v>
      </c>
      <c r="B191" s="62">
        <f>B190/B186*100</f>
        <v>37.87344325</v>
      </c>
      <c r="C191" s="3"/>
      <c r="D191" s="3"/>
      <c r="E191" s="3"/>
    </row>
    <row r="192">
      <c r="A192" s="259"/>
      <c r="B192" s="260"/>
      <c r="C192" s="157"/>
      <c r="D192" s="157"/>
      <c r="E192" s="157"/>
      <c r="F192" s="70"/>
      <c r="G192" s="70"/>
    </row>
    <row r="193">
      <c r="A193" s="259"/>
      <c r="B193" s="260"/>
      <c r="C193" s="157"/>
      <c r="D193" s="157"/>
      <c r="E193" s="157"/>
      <c r="F193" s="70"/>
      <c r="G193" s="70"/>
    </row>
    <row r="194">
      <c r="A194" s="1" t="s">
        <v>192</v>
      </c>
      <c r="B194" s="2" t="s">
        <v>162</v>
      </c>
      <c r="C194" s="157"/>
      <c r="D194" s="157"/>
      <c r="E194" s="157"/>
      <c r="F194" s="70"/>
      <c r="G194" s="70"/>
    </row>
    <row r="195">
      <c r="A195" s="38" t="s">
        <v>49</v>
      </c>
      <c r="B195" s="24" t="s">
        <v>3</v>
      </c>
      <c r="C195" s="24" t="s">
        <v>4</v>
      </c>
      <c r="D195" s="24" t="s">
        <v>5</v>
      </c>
      <c r="E195" s="39" t="s">
        <v>6</v>
      </c>
      <c r="F195" s="24" t="s">
        <v>7</v>
      </c>
      <c r="G195" s="24" t="s">
        <v>11</v>
      </c>
      <c r="H195" s="24" t="s">
        <v>12</v>
      </c>
    </row>
    <row r="196">
      <c r="A196" s="24" t="s">
        <v>21</v>
      </c>
      <c r="B196" s="212"/>
      <c r="C196" s="221">
        <f t="shared" ref="C196:C200" si="68">G196</f>
        <v>0</v>
      </c>
      <c r="D196" s="214">
        <f t="shared" ref="D196:D200" si="69">B196-C196</f>
        <v>0</v>
      </c>
      <c r="E196" s="215" t="str">
        <f t="shared" ref="E196:E200" si="70">D196/B196*100</f>
        <v>#DIV/0!</v>
      </c>
      <c r="F196" s="216" t="str">
        <f t="shared" ref="F196:F200" si="71">D196/H196</f>
        <v>#DIV/0!</v>
      </c>
      <c r="G196" s="218">
        <f>220*H196</f>
        <v>0</v>
      </c>
      <c r="H196" s="307"/>
    </row>
    <row r="197">
      <c r="A197" s="90" t="s">
        <v>163</v>
      </c>
      <c r="B197" s="212"/>
      <c r="C197" s="221">
        <f t="shared" si="68"/>
        <v>0</v>
      </c>
      <c r="D197" s="214">
        <f t="shared" si="69"/>
        <v>0</v>
      </c>
      <c r="E197" s="215" t="str">
        <f t="shared" si="70"/>
        <v>#DIV/0!</v>
      </c>
      <c r="F197" s="216" t="str">
        <f t="shared" si="71"/>
        <v>#DIV/0!</v>
      </c>
      <c r="G197" s="218">
        <f>304*H197</f>
        <v>0</v>
      </c>
      <c r="H197" s="307"/>
    </row>
    <row r="198">
      <c r="A198" s="90" t="s">
        <v>164</v>
      </c>
      <c r="B198" s="212"/>
      <c r="C198" s="221">
        <f t="shared" si="68"/>
        <v>0</v>
      </c>
      <c r="D198" s="214">
        <f t="shared" si="69"/>
        <v>0</v>
      </c>
      <c r="E198" s="215" t="str">
        <f t="shared" si="70"/>
        <v>#DIV/0!</v>
      </c>
      <c r="F198" s="216" t="str">
        <f t="shared" si="71"/>
        <v>#DIV/0!</v>
      </c>
      <c r="G198" s="218">
        <f>662*H198</f>
        <v>0</v>
      </c>
      <c r="H198" s="307"/>
    </row>
    <row r="199">
      <c r="A199" s="90" t="s">
        <v>175</v>
      </c>
      <c r="B199" s="212"/>
      <c r="C199" s="221">
        <f t="shared" si="68"/>
        <v>0</v>
      </c>
      <c r="D199" s="214">
        <f t="shared" si="69"/>
        <v>0</v>
      </c>
      <c r="E199" s="215" t="str">
        <f t="shared" si="70"/>
        <v>#DIV/0!</v>
      </c>
      <c r="F199" s="216" t="str">
        <f t="shared" si="71"/>
        <v>#DIV/0!</v>
      </c>
      <c r="G199" s="218">
        <f>300*H199</f>
        <v>0</v>
      </c>
      <c r="H199" s="307"/>
    </row>
    <row r="200">
      <c r="A200" s="90" t="s">
        <v>166</v>
      </c>
      <c r="B200" s="212"/>
      <c r="C200" s="221">
        <f t="shared" si="68"/>
        <v>0</v>
      </c>
      <c r="D200" s="214">
        <f t="shared" si="69"/>
        <v>0</v>
      </c>
      <c r="E200" s="215" t="str">
        <f t="shared" si="70"/>
        <v>#DIV/0!</v>
      </c>
      <c r="F200" s="216" t="str">
        <f t="shared" si="71"/>
        <v>#DIV/0!</v>
      </c>
      <c r="G200" s="218">
        <f t="shared" ref="G200:G201" si="73">778*H200</f>
        <v>0</v>
      </c>
      <c r="H200" s="307"/>
    </row>
    <row r="201">
      <c r="A201" s="90"/>
      <c r="B201" s="261"/>
      <c r="C201" s="262">
        <f t="shared" ref="C201:D201" si="72">SUM(C196:C200)</f>
        <v>0</v>
      </c>
      <c r="D201" s="263">
        <f t="shared" si="72"/>
        <v>0</v>
      </c>
      <c r="E201" s="262"/>
      <c r="F201" s="264"/>
      <c r="G201" s="265">
        <f t="shared" si="73"/>
        <v>0</v>
      </c>
      <c r="H201" s="107">
        <f>SUM(H196:H200)</f>
        <v>0</v>
      </c>
    </row>
    <row r="202">
      <c r="A202" s="259"/>
      <c r="B202" s="260"/>
      <c r="C202" s="157"/>
      <c r="D202" s="157"/>
      <c r="E202" s="157"/>
      <c r="F202" s="70"/>
      <c r="G202" s="70"/>
    </row>
    <row r="203">
      <c r="A203" s="259"/>
      <c r="B203" s="260"/>
      <c r="C203" s="157"/>
      <c r="D203" s="157"/>
      <c r="E203" s="157"/>
      <c r="F203" s="70"/>
      <c r="G203" s="70"/>
    </row>
    <row r="204">
      <c r="A204" s="259"/>
      <c r="B204" s="260"/>
      <c r="C204" s="157"/>
      <c r="D204" s="157"/>
      <c r="E204" s="157"/>
      <c r="F204" s="70"/>
      <c r="G204" s="70"/>
    </row>
    <row r="205">
      <c r="A205" s="259"/>
      <c r="B205" s="260"/>
      <c r="C205" s="157"/>
      <c r="D205" s="157"/>
      <c r="E205" s="157"/>
      <c r="F205" s="70"/>
      <c r="G205" s="70"/>
    </row>
    <row r="206">
      <c r="A206" s="259"/>
      <c r="B206" s="260"/>
      <c r="C206" s="157"/>
      <c r="D206" s="157"/>
      <c r="E206" s="157"/>
      <c r="F206" s="70"/>
      <c r="G206" s="70"/>
    </row>
    <row r="207">
      <c r="A207" s="70"/>
      <c r="B207" s="70"/>
      <c r="C207" s="70"/>
      <c r="D207" s="70"/>
      <c r="E207" s="70"/>
      <c r="F207" s="70"/>
      <c r="G207" s="70"/>
    </row>
    <row r="208" ht="18.0" customHeight="1"/>
    <row r="209">
      <c r="A209" s="351" t="s">
        <v>192</v>
      </c>
    </row>
    <row r="210" ht="15.75" customHeight="1"/>
    <row r="211">
      <c r="A211" s="227" t="s">
        <v>152</v>
      </c>
      <c r="B211" s="228">
        <f>B45+I80+I114+H134+H154+H184</f>
        <v>8741</v>
      </c>
    </row>
    <row r="212">
      <c r="A212" s="71" t="s">
        <v>79</v>
      </c>
      <c r="B212" s="72">
        <f>B41+B83+B117+B137+B156+B184+B201</f>
        <v>9550852.87</v>
      </c>
    </row>
    <row r="213">
      <c r="A213" s="229" t="s">
        <v>41</v>
      </c>
      <c r="B213" s="230">
        <f>B47+B84+B118+B138+B157+B187</f>
        <v>3567528</v>
      </c>
      <c r="D213" s="327"/>
      <c r="F213" s="58"/>
      <c r="G213" s="70"/>
      <c r="H213" s="129"/>
      <c r="I213" s="129"/>
      <c r="J213" s="129"/>
      <c r="K213" s="70"/>
    </row>
    <row r="214">
      <c r="A214" s="231" t="s">
        <v>80</v>
      </c>
      <c r="B214" s="232">
        <f>B212-B213</f>
        <v>5983324.87</v>
      </c>
      <c r="F214" s="58"/>
      <c r="G214" s="70"/>
      <c r="H214" s="70"/>
      <c r="I214" s="169"/>
      <c r="J214" s="148"/>
      <c r="K214" s="70"/>
      <c r="M214" s="128"/>
      <c r="N214" s="113"/>
    </row>
    <row r="215">
      <c r="A215" s="71" t="s">
        <v>81</v>
      </c>
      <c r="B215" s="78">
        <f>B214/B212</f>
        <v>0.626470217</v>
      </c>
      <c r="C215" s="60" t="s">
        <v>181</v>
      </c>
      <c r="F215" s="128"/>
      <c r="G215" s="70"/>
      <c r="H215" s="70"/>
      <c r="I215" s="169"/>
      <c r="J215" s="148"/>
      <c r="K215" s="70"/>
    </row>
    <row r="216">
      <c r="A216" s="231" t="s">
        <v>82</v>
      </c>
      <c r="B216" s="232">
        <f>B48+B85+B86+B119+B139+B158+B188</f>
        <v>753253.79</v>
      </c>
      <c r="D216" s="296"/>
      <c r="F216" s="128"/>
      <c r="G216" s="70"/>
      <c r="H216" s="70"/>
      <c r="I216" s="169"/>
      <c r="J216" s="148"/>
      <c r="K216" s="70"/>
      <c r="L216" s="128"/>
      <c r="M216" s="113"/>
    </row>
    <row r="217">
      <c r="A217" s="233" t="s">
        <v>83</v>
      </c>
      <c r="B217" s="234">
        <f>B49+B87+B120+B140+B159+B189</f>
        <v>4133778.51</v>
      </c>
      <c r="C217" s="308"/>
      <c r="D217" s="309"/>
      <c r="F217" s="113"/>
      <c r="G217" s="70"/>
      <c r="H217" s="70"/>
      <c r="I217" s="169"/>
      <c r="J217" s="148"/>
      <c r="K217" s="70"/>
    </row>
    <row r="218">
      <c r="A218" s="81" t="s">
        <v>84</v>
      </c>
      <c r="B218" s="82">
        <f>B214-(B216+B217)</f>
        <v>1096292.57</v>
      </c>
      <c r="G218" s="70"/>
      <c r="H218" s="157"/>
      <c r="I218" s="170"/>
      <c r="J218" s="148"/>
      <c r="K218" s="70"/>
    </row>
    <row r="219">
      <c r="A219" s="71" t="s">
        <v>85</v>
      </c>
      <c r="B219" s="89">
        <f>B218/B212</f>
        <v>0.1147847826</v>
      </c>
      <c r="G219" s="70"/>
      <c r="H219" s="70"/>
      <c r="I219" s="169"/>
      <c r="J219" s="148"/>
      <c r="K219" s="70"/>
    </row>
    <row r="220">
      <c r="A220" s="235" t="s">
        <v>86</v>
      </c>
      <c r="B220" s="310"/>
      <c r="F220" s="70"/>
      <c r="G220" s="70"/>
      <c r="H220" s="129"/>
      <c r="I220" s="129"/>
      <c r="J220" s="70"/>
      <c r="K220" s="70"/>
    </row>
    <row r="221">
      <c r="A221" s="85" t="s">
        <v>87</v>
      </c>
      <c r="B221" s="86">
        <f>B220+B217+B216+B213</f>
        <v>8454560.3</v>
      </c>
      <c r="F221" s="166"/>
      <c r="G221" s="129"/>
      <c r="H221" s="70"/>
      <c r="I221" s="70"/>
      <c r="J221" s="70"/>
      <c r="K221" s="70"/>
    </row>
    <row r="222">
      <c r="A222" s="87" t="s">
        <v>88</v>
      </c>
      <c r="B222" s="88">
        <f>B212-B221</f>
        <v>1096292.57</v>
      </c>
      <c r="F222" s="166"/>
      <c r="G222" s="70"/>
      <c r="H222" s="70"/>
      <c r="I222" s="70"/>
      <c r="J222" s="70"/>
      <c r="K222" s="70"/>
    </row>
    <row r="223">
      <c r="A223" s="71" t="s">
        <v>89</v>
      </c>
      <c r="B223" s="89">
        <f>B222/B212</f>
        <v>0.1147847826</v>
      </c>
      <c r="F223" s="172"/>
      <c r="G223" s="70"/>
      <c r="H223" s="70"/>
      <c r="I223" s="70"/>
      <c r="J223" s="70"/>
      <c r="K223" s="70"/>
    </row>
    <row r="224">
      <c r="E224" s="70"/>
      <c r="F224" s="172"/>
      <c r="G224" s="70"/>
      <c r="H224" s="70"/>
      <c r="I224" s="70"/>
      <c r="J224" s="70"/>
      <c r="K224" s="70"/>
    </row>
    <row r="225">
      <c r="E225" s="70"/>
      <c r="F225" s="172"/>
      <c r="G225" s="70"/>
      <c r="H225" s="70"/>
    </row>
    <row r="226">
      <c r="E226" s="129"/>
      <c r="F226" s="173"/>
      <c r="G226" s="129"/>
      <c r="H226" s="70"/>
    </row>
    <row r="227">
      <c r="E227" s="70"/>
      <c r="F227" s="70"/>
      <c r="G227" s="70"/>
      <c r="H227" s="70"/>
    </row>
    <row r="228">
      <c r="E228" s="70"/>
      <c r="F228" s="70"/>
      <c r="G228" s="70"/>
      <c r="H228" s="70"/>
    </row>
    <row r="229">
      <c r="A229" s="266" t="s">
        <v>167</v>
      </c>
      <c r="E229" s="70"/>
      <c r="F229" s="70"/>
      <c r="G229" s="70"/>
      <c r="H229" s="70"/>
    </row>
    <row r="230">
      <c r="A230" s="140" t="s">
        <v>122</v>
      </c>
      <c r="B230" s="140" t="s">
        <v>123</v>
      </c>
      <c r="C230" s="141" t="s">
        <v>159</v>
      </c>
      <c r="D230" s="141" t="s">
        <v>124</v>
      </c>
      <c r="E230" s="70"/>
      <c r="F230" s="70"/>
      <c r="G230" s="70"/>
      <c r="H230" s="70"/>
    </row>
    <row r="231">
      <c r="A231" s="142" t="s">
        <v>125</v>
      </c>
      <c r="B231" s="143">
        <f>B40</f>
        <v>90774.07</v>
      </c>
      <c r="C231" s="238">
        <f>K35</f>
        <v>49</v>
      </c>
      <c r="D231" s="144">
        <f t="shared" ref="D231:D236" si="74">C231/$C$237</f>
        <v>0.01258992806</v>
      </c>
      <c r="E231" s="70"/>
      <c r="F231" s="70"/>
      <c r="G231" s="70"/>
      <c r="H231" s="70"/>
    </row>
    <row r="232">
      <c r="A232" s="142" t="s">
        <v>48</v>
      </c>
      <c r="B232" s="143">
        <f>B83</f>
        <v>2518297.13</v>
      </c>
      <c r="C232" s="238">
        <f>I80</f>
        <v>2696</v>
      </c>
      <c r="D232" s="144">
        <f t="shared" si="74"/>
        <v>0.6927029805</v>
      </c>
      <c r="E232" s="70"/>
      <c r="F232" s="70"/>
      <c r="G232" s="70"/>
      <c r="H232" s="70"/>
    </row>
    <row r="233">
      <c r="A233" s="142" t="s">
        <v>70</v>
      </c>
      <c r="B233" s="143">
        <f>B134</f>
        <v>227223</v>
      </c>
      <c r="C233" s="238">
        <f>H134</f>
        <v>351</v>
      </c>
      <c r="D233" s="144">
        <f t="shared" si="74"/>
        <v>0.09018499486</v>
      </c>
      <c r="E233" s="70"/>
      <c r="F233" s="70"/>
      <c r="G233" s="70"/>
      <c r="H233" s="70"/>
    </row>
    <row r="234">
      <c r="A234" s="142" t="s">
        <v>76</v>
      </c>
      <c r="B234" s="143">
        <f>B154</f>
        <v>41551</v>
      </c>
      <c r="C234" s="238">
        <f>H154</f>
        <v>77</v>
      </c>
      <c r="D234" s="144">
        <f t="shared" si="74"/>
        <v>0.01978417266</v>
      </c>
    </row>
    <row r="235">
      <c r="A235" s="142" t="s">
        <v>78</v>
      </c>
      <c r="B235" s="143">
        <f>B186</f>
        <v>352789.55</v>
      </c>
      <c r="C235" s="238">
        <f>H184</f>
        <v>478</v>
      </c>
      <c r="D235" s="144">
        <f t="shared" si="74"/>
        <v>0.1228160329</v>
      </c>
      <c r="E235" s="70"/>
      <c r="F235" s="70"/>
      <c r="G235" s="70"/>
      <c r="H235" s="70"/>
    </row>
    <row r="236">
      <c r="A236" s="142" t="s">
        <v>64</v>
      </c>
      <c r="B236" s="143">
        <f>B117</f>
        <v>252285</v>
      </c>
      <c r="C236" s="238">
        <f>I114</f>
        <v>241</v>
      </c>
      <c r="D236" s="144">
        <f t="shared" si="74"/>
        <v>0.06192189106</v>
      </c>
    </row>
    <row r="237">
      <c r="A237" s="145" t="s">
        <v>38</v>
      </c>
      <c r="B237" s="146">
        <f t="shared" ref="B237:C237" si="75">SUM(B231:B236)</f>
        <v>3482919.75</v>
      </c>
      <c r="C237" s="239">
        <f t="shared" si="75"/>
        <v>3892</v>
      </c>
      <c r="D237" s="192">
        <v>1.0</v>
      </c>
    </row>
    <row r="242">
      <c r="A242" s="70"/>
      <c r="B242" s="70"/>
      <c r="C242" s="70"/>
      <c r="D242" s="70"/>
    </row>
    <row r="243">
      <c r="A243" s="70"/>
      <c r="B243" s="70"/>
      <c r="C243" s="70"/>
      <c r="D243" s="70"/>
    </row>
    <row r="244">
      <c r="A244" s="70"/>
      <c r="B244" s="70"/>
      <c r="C244" s="70"/>
      <c r="D244" s="70"/>
    </row>
    <row r="245">
      <c r="A245" s="267" t="s">
        <v>91</v>
      </c>
      <c r="B245" s="268">
        <f>SUM(B246:B252)</f>
        <v>8741</v>
      </c>
      <c r="C245" s="129"/>
      <c r="D245" s="70"/>
    </row>
    <row r="246">
      <c r="A246" s="107" t="s">
        <v>92</v>
      </c>
      <c r="B246" s="270">
        <f>B45</f>
        <v>4898</v>
      </c>
      <c r="C246" s="148"/>
      <c r="D246" s="70"/>
    </row>
    <row r="247">
      <c r="A247" s="107" t="s">
        <v>48</v>
      </c>
      <c r="B247" s="270">
        <f>I80</f>
        <v>2696</v>
      </c>
      <c r="C247" s="148"/>
      <c r="D247" s="70"/>
    </row>
    <row r="248">
      <c r="A248" s="107" t="s">
        <v>64</v>
      </c>
      <c r="B248" s="270">
        <f>I114</f>
        <v>241</v>
      </c>
      <c r="C248" s="148"/>
      <c r="D248" s="70"/>
    </row>
    <row r="249">
      <c r="A249" s="107" t="s">
        <v>70</v>
      </c>
      <c r="B249" s="270">
        <f>H134</f>
        <v>351</v>
      </c>
      <c r="C249" s="148"/>
      <c r="D249" s="70"/>
    </row>
    <row r="250">
      <c r="A250" s="107" t="s">
        <v>76</v>
      </c>
      <c r="B250" s="270">
        <f>H154</f>
        <v>77</v>
      </c>
      <c r="C250" s="148"/>
      <c r="D250" s="70"/>
    </row>
    <row r="251">
      <c r="A251" s="107" t="s">
        <v>95</v>
      </c>
      <c r="B251" s="270">
        <f>H184</f>
        <v>478</v>
      </c>
      <c r="C251" s="148"/>
      <c r="D251" s="70"/>
    </row>
    <row r="252">
      <c r="A252" s="107" t="s">
        <v>96</v>
      </c>
      <c r="B252" s="270">
        <v>0.0</v>
      </c>
      <c r="C252" s="148"/>
      <c r="D252" s="70"/>
    </row>
    <row r="253">
      <c r="A253" s="267" t="s">
        <v>97</v>
      </c>
      <c r="B253" s="272">
        <f>SUM(B254:B260)</f>
        <v>9550852.87</v>
      </c>
      <c r="C253" s="148"/>
      <c r="D253" s="70"/>
    </row>
    <row r="254">
      <c r="A254" s="107" t="s">
        <v>92</v>
      </c>
      <c r="B254" s="109">
        <f>B46</f>
        <v>6158707.19</v>
      </c>
      <c r="C254" s="149"/>
      <c r="D254" s="70"/>
    </row>
    <row r="255">
      <c r="A255" s="107" t="s">
        <v>48</v>
      </c>
      <c r="B255" s="109">
        <f>B83</f>
        <v>2518297.13</v>
      </c>
      <c r="C255" s="70"/>
      <c r="D255" s="70"/>
    </row>
    <row r="256">
      <c r="A256" s="107" t="s">
        <v>64</v>
      </c>
      <c r="B256" s="109">
        <f>B114</f>
        <v>252285</v>
      </c>
      <c r="C256" s="70"/>
      <c r="D256" s="70"/>
    </row>
    <row r="257">
      <c r="A257" s="107" t="s">
        <v>70</v>
      </c>
      <c r="B257" s="109">
        <f>B134</f>
        <v>227223</v>
      </c>
      <c r="C257" s="70"/>
      <c r="D257" s="70"/>
    </row>
    <row r="258">
      <c r="A258" s="107" t="s">
        <v>76</v>
      </c>
      <c r="B258" s="109">
        <f>B154</f>
        <v>41551</v>
      </c>
      <c r="C258" s="70"/>
      <c r="D258" s="70"/>
    </row>
    <row r="259">
      <c r="A259" s="107" t="s">
        <v>95</v>
      </c>
      <c r="B259" s="109">
        <f>B184</f>
        <v>352789.55</v>
      </c>
    </row>
    <row r="260">
      <c r="A260" s="107" t="s">
        <v>96</v>
      </c>
      <c r="B260" s="109">
        <v>0.0</v>
      </c>
    </row>
    <row r="261">
      <c r="A261" s="267" t="s">
        <v>98</v>
      </c>
      <c r="B261" s="272">
        <f>SUM(B262:B268)</f>
        <v>8093943.11</v>
      </c>
    </row>
    <row r="262">
      <c r="A262" s="107" t="s">
        <v>92</v>
      </c>
      <c r="B262" s="274">
        <f t="shared" ref="B262:B268" si="76">B254/1.18</f>
        <v>5219243.381</v>
      </c>
    </row>
    <row r="263">
      <c r="A263" s="107" t="s">
        <v>48</v>
      </c>
      <c r="B263" s="274">
        <f t="shared" si="76"/>
        <v>2134150.11</v>
      </c>
    </row>
    <row r="264">
      <c r="A264" s="107" t="s">
        <v>64</v>
      </c>
      <c r="B264" s="274">
        <f t="shared" si="76"/>
        <v>213800.8475</v>
      </c>
    </row>
    <row r="265">
      <c r="A265" s="107" t="s">
        <v>70</v>
      </c>
      <c r="B265" s="274">
        <f t="shared" si="76"/>
        <v>192561.8644</v>
      </c>
    </row>
    <row r="266">
      <c r="A266" s="107" t="s">
        <v>76</v>
      </c>
      <c r="B266" s="274">
        <f t="shared" si="76"/>
        <v>35212.71186</v>
      </c>
    </row>
    <row r="267">
      <c r="A267" s="107" t="s">
        <v>95</v>
      </c>
      <c r="B267" s="274">
        <f t="shared" si="76"/>
        <v>298974.1949</v>
      </c>
    </row>
    <row r="268">
      <c r="A268" s="107" t="s">
        <v>96</v>
      </c>
      <c r="B268" s="274">
        <f t="shared" si="76"/>
        <v>0</v>
      </c>
    </row>
    <row r="269">
      <c r="A269" s="297" t="s">
        <v>41</v>
      </c>
      <c r="B269" s="298">
        <f>B213/1.18</f>
        <v>3023328.814</v>
      </c>
    </row>
    <row r="270">
      <c r="A270" s="90" t="s">
        <v>80</v>
      </c>
      <c r="B270" s="97">
        <f>B261-B269</f>
        <v>5070614.297</v>
      </c>
    </row>
    <row r="271">
      <c r="A271" s="92" t="s">
        <v>99</v>
      </c>
      <c r="B271" s="98">
        <f>B270/B261</f>
        <v>0.626470217</v>
      </c>
    </row>
    <row r="272">
      <c r="A272" s="99" t="s">
        <v>100</v>
      </c>
      <c r="B272" s="100">
        <v>437072.9279491526</v>
      </c>
    </row>
    <row r="273">
      <c r="A273" s="99" t="s">
        <v>101</v>
      </c>
      <c r="B273" s="100">
        <v>291381.9519661017</v>
      </c>
    </row>
    <row r="274">
      <c r="A274" s="101" t="s">
        <v>102</v>
      </c>
      <c r="B274" s="95">
        <f>B270-(B272+B273)</f>
        <v>4342159.417</v>
      </c>
    </row>
    <row r="275">
      <c r="A275" s="92" t="s">
        <v>103</v>
      </c>
      <c r="B275" s="98">
        <f>B274/B261</f>
        <v>0.536470217</v>
      </c>
    </row>
    <row r="276">
      <c r="A276" s="28" t="s">
        <v>104</v>
      </c>
      <c r="B276" s="95">
        <f>(B49+B87+B120+B140+B159)/1.18</f>
        <v>3503202.127</v>
      </c>
    </row>
    <row r="277">
      <c r="A277" s="101" t="s">
        <v>105</v>
      </c>
      <c r="B277" s="95">
        <f>B274-B276</f>
        <v>838957.2896</v>
      </c>
    </row>
    <row r="278">
      <c r="A278" s="92" t="s">
        <v>106</v>
      </c>
      <c r="B278" s="102">
        <f>B277/B261</f>
        <v>0.1036524816</v>
      </c>
    </row>
    <row r="279">
      <c r="A279" s="28" t="s">
        <v>107</v>
      </c>
      <c r="B279" s="28">
        <v>550000.0</v>
      </c>
    </row>
    <row r="280">
      <c r="A280" s="28" t="s">
        <v>108</v>
      </c>
      <c r="B280" s="28">
        <v>380000.0</v>
      </c>
    </row>
    <row r="281">
      <c r="A281" s="28" t="s">
        <v>109</v>
      </c>
      <c r="B281" s="28">
        <v>80000.0</v>
      </c>
    </row>
    <row r="282">
      <c r="A282" s="28" t="s">
        <v>110</v>
      </c>
      <c r="B282" s="28">
        <v>85000.0</v>
      </c>
    </row>
    <row r="283">
      <c r="A283" s="28" t="s">
        <v>111</v>
      </c>
      <c r="B283" s="28">
        <v>60000.0</v>
      </c>
    </row>
    <row r="284">
      <c r="A284" s="101" t="s">
        <v>112</v>
      </c>
      <c r="B284" s="95">
        <f>B277-SUM(B279:B283)</f>
        <v>-316042.7104</v>
      </c>
    </row>
    <row r="285">
      <c r="A285" s="92" t="s">
        <v>113</v>
      </c>
      <c r="B285" s="102">
        <f>B284/B261</f>
        <v>-0.03904681638</v>
      </c>
    </row>
    <row r="286">
      <c r="A286" s="299"/>
      <c r="B286" s="300"/>
    </row>
    <row r="287">
      <c r="A287" s="299"/>
      <c r="B287" s="300"/>
    </row>
    <row r="288">
      <c r="A288" s="311" t="s">
        <v>182</v>
      </c>
    </row>
    <row r="289">
      <c r="A289" s="312" t="s">
        <v>21</v>
      </c>
      <c r="B289" s="313">
        <f>'April 25'!F175+'May 25'!F200+'June 25'!G205+'July 25'!F205+'Aug 25'!E183+'Sep 25'!E197+'Oct 25'!F214+F211</f>
        <v>15117747.11</v>
      </c>
    </row>
    <row r="290">
      <c r="A290" s="312" t="s">
        <v>23</v>
      </c>
      <c r="B290" s="313">
        <f>'April 25'!F176+'May 25'!F201+'June 25'!G206+'July 25'!F206+'Aug 25'!E184+'Sep 25'!E198+'Oct 25'!F215+F212</f>
        <v>15162750.01</v>
      </c>
    </row>
    <row r="291">
      <c r="A291" s="312" t="s">
        <v>25</v>
      </c>
      <c r="B291" s="313">
        <f>'April 25'!F177+'May 25'!F202+'June 25'!G207+'July 25'!F207+'Aug 25'!E185+'Sep 25'!E199+'Oct 25'!F216+F213</f>
        <v>1975408.164</v>
      </c>
    </row>
    <row r="292">
      <c r="A292" s="312" t="s">
        <v>26</v>
      </c>
      <c r="B292" s="313">
        <f>'April 25'!F178+'May 25'!F203+'June 25'!G208+'July 25'!F208+'Aug 25'!E186+'Sep 25'!E200+'Oct 25'!F217+F214</f>
        <v>3955895.01</v>
      </c>
    </row>
    <row r="293">
      <c r="A293" s="312" t="s">
        <v>28</v>
      </c>
      <c r="B293" s="313">
        <f>'April 25'!F179+'May 25'!F204+'June 25'!G209+'July 25'!F209+'Aug 25'!E187+'Sep 25'!E201+'Oct 25'!F218+F215</f>
        <v>222777.37</v>
      </c>
    </row>
    <row r="294">
      <c r="A294" s="312" t="s">
        <v>29</v>
      </c>
      <c r="B294" s="313">
        <f>'April 25'!F180+'May 25'!F205+'June 25'!G210+'July 25'!F210+'Aug 25'!E188+'Sep 25'!E202+'Oct 25'!F219+F216</f>
        <v>10168642.4</v>
      </c>
    </row>
    <row r="295">
      <c r="A295" s="312" t="s">
        <v>31</v>
      </c>
      <c r="B295" s="313">
        <f>'April 25'!F181+'May 25'!F206+'June 25'!G211+'July 25'!F211+'Aug 25'!E189+'Sep 25'!E203+'Oct 25'!F220+F217</f>
        <v>1030490.02</v>
      </c>
    </row>
    <row r="296">
      <c r="A296" s="312" t="s">
        <v>32</v>
      </c>
      <c r="B296" s="313">
        <f>'April 25'!F182+'May 25'!F207+'June 25'!G212+'July 25'!F212+'Aug 25'!E190+'Sep 25'!E204+'Oct 25'!F221+F218</f>
        <v>320609.8</v>
      </c>
    </row>
    <row r="297">
      <c r="A297" s="312" t="s">
        <v>33</v>
      </c>
      <c r="B297" s="313">
        <f>'April 25'!F183+'May 25'!F208+'June 25'!G213+'July 25'!F213+'Aug 25'!E191+'Sep 25'!E205+'Oct 25'!F222+F219</f>
        <v>13072801.54</v>
      </c>
    </row>
    <row r="298">
      <c r="A298" s="312" t="s">
        <v>131</v>
      </c>
      <c r="B298" s="313">
        <f>'July 25'!F214+'Aug 25'!E192+'June 25'!G216+'Sep 25'!E206+'Oct 25'!F223+F220</f>
        <v>1260624.22</v>
      </c>
    </row>
    <row r="299">
      <c r="A299" s="312" t="s">
        <v>54</v>
      </c>
      <c r="B299" s="313">
        <f>'April 25'!F184+'May 25'!F209+'June 25'!G214+'July 25'!F215+'Aug 25'!E193+'Sep 25'!E207+'Oct 25'!F224+F221</f>
        <v>2662208.63</v>
      </c>
    </row>
    <row r="300">
      <c r="A300" s="312" t="s">
        <v>93</v>
      </c>
      <c r="B300" s="313">
        <f>F222+'Oct 25'!F225+'Sep 25'!E208+'Aug 25'!E194+'July 25'!F216+'June 25'!G215+'May 25'!F210+'April 25'!F185</f>
        <v>5788592.178</v>
      </c>
    </row>
    <row r="301">
      <c r="A301" s="312" t="s">
        <v>94</v>
      </c>
      <c r="B301" s="313">
        <f>F223+'Oct 25'!F226+'Sep 25'!E209+'Aug 25'!E195+'July 25'!F217+'June 25'!G217+'May 25'!F211+'April 25'!F186</f>
        <v>13280</v>
      </c>
    </row>
    <row r="302">
      <c r="A302" s="107"/>
      <c r="B302" s="314">
        <f>SUM(B289:B301)</f>
        <v>70751826.44</v>
      </c>
    </row>
  </sheetData>
  <mergeCells count="1">
    <mergeCell ref="A288:B288"/>
  </mergeCells>
  <drawing r:id="rId1"/>
</worksheet>
</file>