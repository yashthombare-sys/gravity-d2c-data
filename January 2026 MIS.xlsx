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  <col width="10" customWidth="1" min="10" max="10"/>
    <col width="16" customWidth="1" min="11" max="11"/>
    <col width="8" customWidth="1" min="12" max="12"/>
    <col width="11" customWidth="1" min="13" max="13"/>
    <col width="8" customWidth="1" min="14" max="14"/>
    <col width="10" customWidth="1" min="15" max="15"/>
    <col width="11" customWidth="1" min="16" max="16"/>
    <col width="14" customWidth="1" min="17" max="17"/>
    <col width="12" customWidth="1" min="18" max="18"/>
  </cols>
  <sheetData>
    <row r="1">
      <c r="A1" s="1" t="inlineStr">
        <is>
          <t>Products</t>
        </is>
      </c>
      <c r="B1" s="1" t="inlineStr">
        <is>
          <t>Total Delivered Revenue</t>
        </is>
      </c>
      <c r="C1" s="1" t="inlineStr">
        <is>
          <t>Total Expense</t>
        </is>
      </c>
      <c r="D1" s="1" t="inlineStr">
        <is>
          <t>Total P/L</t>
        </is>
      </c>
      <c r="E1" s="1" t="inlineStr">
        <is>
          <t>Profit %</t>
        </is>
      </c>
      <c r="F1" s="1" t="inlineStr">
        <is>
          <t>P/pcs</t>
        </is>
      </c>
      <c r="G1" s="1" t="inlineStr">
        <is>
          <t>Total Orders</t>
        </is>
      </c>
      <c r="H1" s="1" t="inlineStr">
        <is>
          <t>Shipped</t>
        </is>
      </c>
      <c r="I1" s="1" t="inlineStr">
        <is>
          <t>Total COGS</t>
        </is>
      </c>
      <c r="J1" s="1" t="inlineStr">
        <is>
          <t>Delivered</t>
        </is>
      </c>
      <c r="K1" s="1" t="inlineStr">
        <is>
          <t>Shipping Charges</t>
        </is>
      </c>
      <c r="L1" s="1" t="inlineStr">
        <is>
          <t>RTO</t>
        </is>
      </c>
      <c r="M1" s="1" t="inlineStr">
        <is>
          <t>In-Transit</t>
        </is>
      </c>
      <c r="N1" s="1" t="inlineStr">
        <is>
          <t>RTO%</t>
        </is>
      </c>
      <c r="O1" s="1" t="inlineStr">
        <is>
          <t>Shipped%</t>
        </is>
      </c>
      <c r="P1" s="1" t="inlineStr">
        <is>
          <t>Delivered%</t>
        </is>
      </c>
      <c r="Q1" s="1" t="inlineStr">
        <is>
          <t>Cancellation%</t>
        </is>
      </c>
      <c r="R1" s="1" t="inlineStr">
        <is>
          <t>COGS/Unit</t>
        </is>
      </c>
    </row>
    <row r="2">
      <c r="A2" s="2" t="inlineStr">
        <is>
          <t>V1</t>
        </is>
      </c>
      <c r="B2" s="3" t="n">
        <v>483246.44</v>
      </c>
      <c r="C2" s="3">
        <f>I2+K2</f>
        <v/>
      </c>
      <c r="D2" s="3">
        <f>B2-C2</f>
        <v/>
      </c>
      <c r="E2" s="4">
        <f>IF(B2=0,"",D2/B2)</f>
        <v/>
      </c>
      <c r="F2" s="3">
        <f>IF(J2=0,"",D2/J2)</f>
        <v/>
      </c>
      <c r="G2" s="2" t="n">
        <v>610</v>
      </c>
      <c r="H2" s="2" t="n">
        <v>605</v>
      </c>
      <c r="I2" s="3">
        <f>R2*H2</f>
        <v/>
      </c>
      <c r="J2" s="2" t="n">
        <v>553</v>
      </c>
      <c r="K2" s="3" t="n">
        <v>0</v>
      </c>
      <c r="L2" s="2" t="n">
        <v>51</v>
      </c>
      <c r="M2" s="2" t="n">
        <v>1</v>
      </c>
      <c r="N2" s="4">
        <f>IF(H2=0,"",L2/H2)</f>
        <v/>
      </c>
      <c r="O2" s="4">
        <f>IF(G2=0,"",H2/G2)</f>
        <v/>
      </c>
      <c r="P2" s="4">
        <f>IF(G2=0,"",J2/G2)</f>
        <v/>
      </c>
      <c r="Q2" s="4">
        <f>IF(G2=0,"",(G2-H2)/G2)</f>
        <v/>
      </c>
      <c r="R2" s="3" t="n">
        <v>0</v>
      </c>
    </row>
    <row r="3">
      <c r="A3" s="2" t="inlineStr">
        <is>
          <t>V2</t>
        </is>
      </c>
      <c r="B3" s="3" t="n">
        <v>1307893.37</v>
      </c>
      <c r="C3" s="3">
        <f>I3+K3</f>
        <v/>
      </c>
      <c r="D3" s="3">
        <f>B3-C3</f>
        <v/>
      </c>
      <c r="E3" s="4">
        <f>IF(B3=0,"",D3/B3)</f>
        <v/>
      </c>
      <c r="F3" s="3">
        <f>IF(J3=0,"",D3/J3)</f>
        <v/>
      </c>
      <c r="G3" s="2" t="n">
        <v>1586</v>
      </c>
      <c r="H3" s="2" t="n">
        <v>1563</v>
      </c>
      <c r="I3" s="3">
        <f>R3*H3</f>
        <v/>
      </c>
      <c r="J3" s="2" t="n">
        <v>1345</v>
      </c>
      <c r="K3" s="3" t="n">
        <v>0</v>
      </c>
      <c r="L3" s="2" t="n">
        <v>213</v>
      </c>
      <c r="M3" s="2" t="n">
        <v>5</v>
      </c>
      <c r="N3" s="4">
        <f>IF(H3=0,"",L3/H3)</f>
        <v/>
      </c>
      <c r="O3" s="4">
        <f>IF(G3=0,"",H3/G3)</f>
        <v/>
      </c>
      <c r="P3" s="4">
        <f>IF(G3=0,"",J3/G3)</f>
        <v/>
      </c>
      <c r="Q3" s="4">
        <f>IF(G3=0,"",(G3-H3)/G3)</f>
        <v/>
      </c>
      <c r="R3" s="3" t="n">
        <v>0</v>
      </c>
    </row>
    <row r="4">
      <c r="A4" s="2" t="inlineStr">
        <is>
          <t>V3</t>
        </is>
      </c>
      <c r="B4" s="3" t="n">
        <v>382041.58</v>
      </c>
      <c r="C4" s="3">
        <f>I4+K4</f>
        <v/>
      </c>
      <c r="D4" s="3">
        <f>B4-C4</f>
        <v/>
      </c>
      <c r="E4" s="4">
        <f>IF(B4=0,"",D4/B4)</f>
        <v/>
      </c>
      <c r="F4" s="3">
        <f>IF(J4=0,"",D4/J4)</f>
        <v/>
      </c>
      <c r="G4" s="2" t="n">
        <v>286</v>
      </c>
      <c r="H4" s="2" t="n">
        <v>284</v>
      </c>
      <c r="I4" s="3">
        <f>R4*H4</f>
        <v/>
      </c>
      <c r="J4" s="2" t="n">
        <v>260</v>
      </c>
      <c r="K4" s="3" t="n">
        <v>0</v>
      </c>
      <c r="L4" s="2" t="n">
        <v>24</v>
      </c>
      <c r="M4" s="2" t="n">
        <v>0</v>
      </c>
      <c r="N4" s="4">
        <f>IF(H4=0,"",L4/H4)</f>
        <v/>
      </c>
      <c r="O4" s="4">
        <f>IF(G4=0,"",H4/G4)</f>
        <v/>
      </c>
      <c r="P4" s="4">
        <f>IF(G4=0,"",J4/G4)</f>
        <v/>
      </c>
      <c r="Q4" s="4">
        <f>IF(G4=0,"",(G4-H4)/G4)</f>
        <v/>
      </c>
      <c r="R4" s="3" t="n">
        <v>0</v>
      </c>
    </row>
    <row r="5">
      <c r="A5" s="2" t="inlineStr">
        <is>
          <t>V4</t>
        </is>
      </c>
      <c r="B5" s="3" t="n">
        <v>76280.49000000001</v>
      </c>
      <c r="C5" s="3">
        <f>I5+K5</f>
        <v/>
      </c>
      <c r="D5" s="3">
        <f>B5-C5</f>
        <v/>
      </c>
      <c r="E5" s="4">
        <f>IF(B5=0,"",D5/B5)</f>
        <v/>
      </c>
      <c r="F5" s="3">
        <f>IF(J5=0,"",D5/J5)</f>
        <v/>
      </c>
      <c r="G5" s="2" t="n">
        <v>164</v>
      </c>
      <c r="H5" s="2" t="n">
        <v>162</v>
      </c>
      <c r="I5" s="3">
        <f>R5*H5</f>
        <v/>
      </c>
      <c r="J5" s="2" t="n">
        <v>150</v>
      </c>
      <c r="K5" s="3" t="n">
        <v>0</v>
      </c>
      <c r="L5" s="2" t="n">
        <v>12</v>
      </c>
      <c r="M5" s="2" t="n">
        <v>0</v>
      </c>
      <c r="N5" s="4">
        <f>IF(H5=0,"",L5/H5)</f>
        <v/>
      </c>
      <c r="O5" s="4">
        <f>IF(G5=0,"",H5/G5)</f>
        <v/>
      </c>
      <c r="P5" s="4">
        <f>IF(G5=0,"",J5/G5)</f>
        <v/>
      </c>
      <c r="Q5" s="4">
        <f>IF(G5=0,"",(G5-H5)/G5)</f>
        <v/>
      </c>
      <c r="R5" s="3" t="n">
        <v>0</v>
      </c>
    </row>
    <row r="6">
      <c r="A6" s="2" t="inlineStr">
        <is>
          <t>V6</t>
        </is>
      </c>
      <c r="B6" s="3" t="n">
        <v>825565.98</v>
      </c>
      <c r="C6" s="3">
        <f>I6+K6</f>
        <v/>
      </c>
      <c r="D6" s="3">
        <f>B6-C6</f>
        <v/>
      </c>
      <c r="E6" s="4">
        <f>IF(B6=0,"",D6/B6)</f>
        <v/>
      </c>
      <c r="F6" s="3">
        <f>IF(J6=0,"",D6/J6)</f>
        <v/>
      </c>
      <c r="G6" s="2" t="n">
        <v>970</v>
      </c>
      <c r="H6" s="2" t="n">
        <v>956</v>
      </c>
      <c r="I6" s="3">
        <f>R6*H6</f>
        <v/>
      </c>
      <c r="J6" s="2" t="n">
        <v>854</v>
      </c>
      <c r="K6" s="3" t="n">
        <v>0</v>
      </c>
      <c r="L6" s="2" t="n">
        <v>101</v>
      </c>
      <c r="M6" s="2" t="n">
        <v>1</v>
      </c>
      <c r="N6" s="4">
        <f>IF(H6=0,"",L6/H6)</f>
        <v/>
      </c>
      <c r="O6" s="4">
        <f>IF(G6=0,"",H6/G6)</f>
        <v/>
      </c>
      <c r="P6" s="4">
        <f>IF(G6=0,"",J6/G6)</f>
        <v/>
      </c>
      <c r="Q6" s="4">
        <f>IF(G6=0,"",(G6-H6)/G6)</f>
        <v/>
      </c>
      <c r="R6" s="3" t="n">
        <v>0</v>
      </c>
    </row>
    <row r="7">
      <c r="A7" s="2" t="inlineStr">
        <is>
          <t>V9</t>
        </is>
      </c>
      <c r="B7" s="3" t="n">
        <v>1436826.65</v>
      </c>
      <c r="C7" s="3">
        <f>I7+K7</f>
        <v/>
      </c>
      <c r="D7" s="3">
        <f>B7-C7</f>
        <v/>
      </c>
      <c r="E7" s="4">
        <f>IF(B7=0,"",D7/B7)</f>
        <v/>
      </c>
      <c r="F7" s="3">
        <f>IF(J7=0,"",D7/J7)</f>
        <v/>
      </c>
      <c r="G7" s="2" t="n">
        <v>895</v>
      </c>
      <c r="H7" s="2" t="n">
        <v>878</v>
      </c>
      <c r="I7" s="3">
        <f>R7*H7</f>
        <v/>
      </c>
      <c r="J7" s="2" t="n">
        <v>804</v>
      </c>
      <c r="K7" s="3" t="n">
        <v>0</v>
      </c>
      <c r="L7" s="2" t="n">
        <v>74</v>
      </c>
      <c r="M7" s="2" t="n">
        <v>0</v>
      </c>
      <c r="N7" s="4">
        <f>IF(H7=0,"",L7/H7)</f>
        <v/>
      </c>
      <c r="O7" s="4">
        <f>IF(G7=0,"",H7/G7)</f>
        <v/>
      </c>
      <c r="P7" s="4">
        <f>IF(G7=0,"",J7/G7)</f>
        <v/>
      </c>
      <c r="Q7" s="4">
        <f>IF(G7=0,"",(G7-H7)/G7)</f>
        <v/>
      </c>
      <c r="R7" s="3" t="n">
        <v>0</v>
      </c>
    </row>
    <row r="8">
      <c r="A8" s="2" t="inlineStr">
        <is>
          <t>V10</t>
        </is>
      </c>
      <c r="B8" s="3" t="n">
        <v>169878.62</v>
      </c>
      <c r="C8" s="3">
        <f>I8+K8</f>
        <v/>
      </c>
      <c r="D8" s="3">
        <f>B8-C8</f>
        <v/>
      </c>
      <c r="E8" s="4">
        <f>IF(B8=0,"",D8/B8)</f>
        <v/>
      </c>
      <c r="F8" s="3">
        <f>IF(J8=0,"",D8/J8)</f>
        <v/>
      </c>
      <c r="G8" s="2" t="n">
        <v>119</v>
      </c>
      <c r="H8" s="2" t="n">
        <v>116</v>
      </c>
      <c r="I8" s="3">
        <f>R8*H8</f>
        <v/>
      </c>
      <c r="J8" s="2" t="n">
        <v>109</v>
      </c>
      <c r="K8" s="3" t="n">
        <v>0</v>
      </c>
      <c r="L8" s="2" t="n">
        <v>6</v>
      </c>
      <c r="M8" s="2" t="n">
        <v>1</v>
      </c>
      <c r="N8" s="4">
        <f>IF(H8=0,"",L8/H8)</f>
        <v/>
      </c>
      <c r="O8" s="4">
        <f>IF(G8=0,"",H8/G8)</f>
        <v/>
      </c>
      <c r="P8" s="4">
        <f>IF(G8=0,"",J8/G8)</f>
        <v/>
      </c>
      <c r="Q8" s="4">
        <f>IF(G8=0,"",(G8-H8)/G8)</f>
        <v/>
      </c>
      <c r="R8" s="3" t="n">
        <v>0</v>
      </c>
    </row>
    <row r="9">
      <c r="A9" s="2" t="inlineStr">
        <is>
          <t>V1- P of 2</t>
        </is>
      </c>
      <c r="B9" s="3" t="n">
        <v>9176.860000000001</v>
      </c>
      <c r="C9" s="3">
        <f>I9+K9</f>
        <v/>
      </c>
      <c r="D9" s="3">
        <f>B9-C9</f>
        <v/>
      </c>
      <c r="E9" s="4">
        <f>IF(B9=0,"",D9/B9)</f>
        <v/>
      </c>
      <c r="F9" s="3">
        <f>IF(J9=0,"",D9/J9)</f>
        <v/>
      </c>
      <c r="G9" s="2" t="n">
        <v>8</v>
      </c>
      <c r="H9" s="2" t="n">
        <v>8</v>
      </c>
      <c r="I9" s="3">
        <f>R9*H9</f>
        <v/>
      </c>
      <c r="J9" s="2" t="n">
        <v>7</v>
      </c>
      <c r="K9" s="3" t="n">
        <v>0</v>
      </c>
      <c r="L9" s="2" t="n">
        <v>1</v>
      </c>
      <c r="M9" s="2" t="n">
        <v>0</v>
      </c>
      <c r="N9" s="4">
        <f>IF(H9=0,"",L9/H9)</f>
        <v/>
      </c>
      <c r="O9" s="4">
        <f>IF(G9=0,"",H9/G9)</f>
        <v/>
      </c>
      <c r="P9" s="4">
        <f>IF(G9=0,"",J9/G9)</f>
        <v/>
      </c>
      <c r="Q9" s="4">
        <f>IF(G9=0,"",(G9-H9)/G9)</f>
        <v/>
      </c>
      <c r="R9" s="3" t="n">
        <v>0</v>
      </c>
    </row>
    <row r="10">
      <c r="A10" s="2" t="inlineStr">
        <is>
          <t>V2- P of 2</t>
        </is>
      </c>
      <c r="B10" s="3" t="n">
        <v>25195.73</v>
      </c>
      <c r="C10" s="3">
        <f>I10+K10</f>
        <v/>
      </c>
      <c r="D10" s="3">
        <f>B10-C10</f>
        <v/>
      </c>
      <c r="E10" s="4">
        <f>IF(B10=0,"",D10/B10)</f>
        <v/>
      </c>
      <c r="F10" s="3">
        <f>IF(J10=0,"",D10/J10)</f>
        <v/>
      </c>
      <c r="G10" s="2" t="n">
        <v>15</v>
      </c>
      <c r="H10" s="2" t="n">
        <v>15</v>
      </c>
      <c r="I10" s="3">
        <f>R10*H10</f>
        <v/>
      </c>
      <c r="J10" s="2" t="n">
        <v>14</v>
      </c>
      <c r="K10" s="3" t="n">
        <v>0</v>
      </c>
      <c r="L10" s="2" t="n">
        <v>1</v>
      </c>
      <c r="M10" s="2" t="n">
        <v>0</v>
      </c>
      <c r="N10" s="4">
        <f>IF(H10=0,"",L10/H10)</f>
        <v/>
      </c>
      <c r="O10" s="4">
        <f>IF(G10=0,"",H10/G10)</f>
        <v/>
      </c>
      <c r="P10" s="4">
        <f>IF(G10=0,"",J10/G10)</f>
        <v/>
      </c>
      <c r="Q10" s="4">
        <f>IF(G10=0,"",(G10-H10)/G10)</f>
        <v/>
      </c>
      <c r="R10" s="3" t="n">
        <v>0</v>
      </c>
    </row>
    <row r="11">
      <c r="A11" s="2" t="inlineStr">
        <is>
          <t>V4- P of 2</t>
        </is>
      </c>
      <c r="B11" s="3" t="n">
        <v>22252.79</v>
      </c>
      <c r="C11" s="3">
        <f>I11+K11</f>
        <v/>
      </c>
      <c r="D11" s="3">
        <f>B11-C11</f>
        <v/>
      </c>
      <c r="E11" s="4">
        <f>IF(B11=0,"",D11/B11)</f>
        <v/>
      </c>
      <c r="F11" s="3">
        <f>IF(J11=0,"",D11/J11)</f>
        <v/>
      </c>
      <c r="G11" s="2" t="n">
        <v>28</v>
      </c>
      <c r="H11" s="2" t="n">
        <v>28</v>
      </c>
      <c r="I11" s="3">
        <f>R11*H11</f>
        <v/>
      </c>
      <c r="J11" s="2" t="n">
        <v>27</v>
      </c>
      <c r="K11" s="3" t="n">
        <v>0</v>
      </c>
      <c r="L11" s="2" t="n">
        <v>1</v>
      </c>
      <c r="M11" s="2" t="n">
        <v>0</v>
      </c>
      <c r="N11" s="4">
        <f>IF(H11=0,"",L11/H11)</f>
        <v/>
      </c>
      <c r="O11" s="4">
        <f>IF(G11=0,"",H11/G11)</f>
        <v/>
      </c>
      <c r="P11" s="4">
        <f>IF(G11=0,"",J11/G11)</f>
        <v/>
      </c>
      <c r="Q11" s="4">
        <f>IF(G11=0,"",(G11-H11)/G11)</f>
        <v/>
      </c>
      <c r="R11" s="3" t="n">
        <v>0</v>
      </c>
    </row>
    <row r="12">
      <c r="A12" s="2" t="inlineStr">
        <is>
          <t>V6- P of 2</t>
        </is>
      </c>
      <c r="B12" s="3" t="n">
        <v>19680.86</v>
      </c>
      <c r="C12" s="3">
        <f>I12+K12</f>
        <v/>
      </c>
      <c r="D12" s="3">
        <f>B12-C12</f>
        <v/>
      </c>
      <c r="E12" s="4">
        <f>IF(B12=0,"",D12/B12)</f>
        <v/>
      </c>
      <c r="F12" s="3">
        <f>IF(J12=0,"",D12/J12)</f>
        <v/>
      </c>
      <c r="G12" s="2" t="n">
        <v>13</v>
      </c>
      <c r="H12" s="2" t="n">
        <v>13</v>
      </c>
      <c r="I12" s="3">
        <f>R12*H12</f>
        <v/>
      </c>
      <c r="J12" s="2" t="n">
        <v>11</v>
      </c>
      <c r="K12" s="3" t="n">
        <v>0</v>
      </c>
      <c r="L12" s="2" t="n">
        <v>2</v>
      </c>
      <c r="M12" s="2" t="n">
        <v>0</v>
      </c>
      <c r="N12" s="4">
        <f>IF(H12=0,"",L12/H12)</f>
        <v/>
      </c>
      <c r="O12" s="4">
        <f>IF(G12=0,"",H12/G12)</f>
        <v/>
      </c>
      <c r="P12" s="4">
        <f>IF(G12=0,"",J12/G12)</f>
        <v/>
      </c>
      <c r="Q12" s="4">
        <f>IF(G12=0,"",(G12-H12)/G12)</f>
        <v/>
      </c>
      <c r="R12" s="3" t="n">
        <v>0</v>
      </c>
    </row>
    <row r="13">
      <c r="A13" s="2" t="inlineStr">
        <is>
          <t>V9 P of 2</t>
        </is>
      </c>
      <c r="B13" s="3" t="n">
        <v>36152.09</v>
      </c>
      <c r="C13" s="3">
        <f>I13+K13</f>
        <v/>
      </c>
      <c r="D13" s="3">
        <f>B13-C13</f>
        <v/>
      </c>
      <c r="E13" s="4">
        <f>IF(B13=0,"",D13/B13)</f>
        <v/>
      </c>
      <c r="F13" s="3">
        <f>IF(J13=0,"",D13/J13)</f>
        <v/>
      </c>
      <c r="G13" s="2" t="n">
        <v>13</v>
      </c>
      <c r="H13" s="2" t="n">
        <v>13</v>
      </c>
      <c r="I13" s="3">
        <f>R13*H13</f>
        <v/>
      </c>
      <c r="J13" s="2" t="n">
        <v>13</v>
      </c>
      <c r="K13" s="3" t="n">
        <v>0</v>
      </c>
      <c r="L13" s="2" t="n">
        <v>0</v>
      </c>
      <c r="M13" s="2" t="n">
        <v>0</v>
      </c>
      <c r="N13" s="4">
        <f>IF(H13=0,"",L13/H13)</f>
        <v/>
      </c>
      <c r="O13" s="4">
        <f>IF(G13=0,"",H13/G13)</f>
        <v/>
      </c>
      <c r="P13" s="4">
        <f>IF(G13=0,"",J13/G13)</f>
        <v/>
      </c>
      <c r="Q13" s="4">
        <f>IF(G13=0,"",(G13-H13)/G13)</f>
        <v/>
      </c>
      <c r="R13" s="3" t="n">
        <v>0</v>
      </c>
    </row>
    <row r="14">
      <c r="A14" s="2" t="inlineStr">
        <is>
          <t>V6-V1 Combo</t>
        </is>
      </c>
      <c r="B14" s="3" t="n">
        <v>262620.47</v>
      </c>
      <c r="C14" s="3">
        <f>I14+K14</f>
        <v/>
      </c>
      <c r="D14" s="3">
        <f>B14-C14</f>
        <v/>
      </c>
      <c r="E14" s="4">
        <f>IF(B14=0,"",D14/B14)</f>
        <v/>
      </c>
      <c r="F14" s="3">
        <f>IF(J14=0,"",D14/J14)</f>
        <v/>
      </c>
      <c r="G14" s="2" t="n">
        <v>231</v>
      </c>
      <c r="H14" s="2" t="n">
        <v>229</v>
      </c>
      <c r="I14" s="3">
        <f>R14*H14</f>
        <v/>
      </c>
      <c r="J14" s="2" t="n">
        <v>215</v>
      </c>
      <c r="K14" s="3" t="n">
        <v>0</v>
      </c>
      <c r="L14" s="2" t="n">
        <v>13</v>
      </c>
      <c r="M14" s="2" t="n">
        <v>1</v>
      </c>
      <c r="N14" s="4">
        <f>IF(H14=0,"",L14/H14)</f>
        <v/>
      </c>
      <c r="O14" s="4">
        <f>IF(G14=0,"",H14/G14)</f>
        <v/>
      </c>
      <c r="P14" s="4">
        <f>IF(G14=0,"",J14/G14)</f>
        <v/>
      </c>
      <c r="Q14" s="4">
        <f>IF(G14=0,"",(G14-H14)/G14)</f>
        <v/>
      </c>
      <c r="R14" s="3" t="n">
        <v>0</v>
      </c>
    </row>
    <row r="15">
      <c r="A15" s="2" t="inlineStr">
        <is>
          <t>V6-V2 Combo</t>
        </is>
      </c>
      <c r="B15" s="3" t="n">
        <v>29380.43</v>
      </c>
      <c r="C15" s="3">
        <f>I15+K15</f>
        <v/>
      </c>
      <c r="D15" s="3">
        <f>B15-C15</f>
        <v/>
      </c>
      <c r="E15" s="4">
        <f>IF(B15=0,"",D15/B15)</f>
        <v/>
      </c>
      <c r="F15" s="3">
        <f>IF(J15=0,"",D15/J15)</f>
        <v/>
      </c>
      <c r="G15" s="2" t="n">
        <v>14</v>
      </c>
      <c r="H15" s="2" t="n">
        <v>14</v>
      </c>
      <c r="I15" s="3">
        <f>R15*H15</f>
        <v/>
      </c>
      <c r="J15" s="2" t="n">
        <v>14</v>
      </c>
      <c r="K15" s="3" t="n">
        <v>0</v>
      </c>
      <c r="L15" s="2" t="n">
        <v>0</v>
      </c>
      <c r="M15" s="2" t="n">
        <v>0</v>
      </c>
      <c r="N15" s="4">
        <f>IF(H15=0,"",L15/H15)</f>
        <v/>
      </c>
      <c r="O15" s="4">
        <f>IF(G15=0,"",H15/G15)</f>
        <v/>
      </c>
      <c r="P15" s="4">
        <f>IF(G15=0,"",J15/G15)</f>
        <v/>
      </c>
      <c r="Q15" s="4">
        <f>IF(G15=0,"",(G15-H15)/G15)</f>
        <v/>
      </c>
      <c r="R15" s="3" t="n">
        <v>0</v>
      </c>
    </row>
    <row r="16">
      <c r="A16" s="2" t="inlineStr">
        <is>
          <t>V1-V2 Combo</t>
        </is>
      </c>
      <c r="B16" s="3" t="n">
        <v>42094.8</v>
      </c>
      <c r="C16" s="3">
        <f>I16+K16</f>
        <v/>
      </c>
      <c r="D16" s="3">
        <f>B16-C16</f>
        <v/>
      </c>
      <c r="E16" s="4">
        <f>IF(B16=0,"",D16/B16)</f>
        <v/>
      </c>
      <c r="F16" s="3">
        <f>IF(J16=0,"",D16/J16)</f>
        <v/>
      </c>
      <c r="G16" s="2" t="n">
        <v>22</v>
      </c>
      <c r="H16" s="2" t="n">
        <v>21</v>
      </c>
      <c r="I16" s="3">
        <f>R16*H16</f>
        <v/>
      </c>
      <c r="J16" s="2" t="n">
        <v>21</v>
      </c>
      <c r="K16" s="3" t="n">
        <v>0</v>
      </c>
      <c r="L16" s="2" t="n">
        <v>0</v>
      </c>
      <c r="M16" s="2" t="n">
        <v>0</v>
      </c>
      <c r="N16" s="4">
        <f>IF(H16=0,"",L16/H16)</f>
        <v/>
      </c>
      <c r="O16" s="4">
        <f>IF(G16=0,"",H16/G16)</f>
        <v/>
      </c>
      <c r="P16" s="4">
        <f>IF(G16=0,"",J16/G16)</f>
        <v/>
      </c>
      <c r="Q16" s="4">
        <f>IF(G16=0,"",(G16-H16)/G16)</f>
        <v/>
      </c>
      <c r="R16" s="3" t="n">
        <v>0</v>
      </c>
    </row>
    <row r="17">
      <c r="A17" s="2" t="inlineStr">
        <is>
          <t>V1-V4 Combo</t>
        </is>
      </c>
      <c r="B17" s="3" t="n">
        <v>20528.55</v>
      </c>
      <c r="C17" s="3">
        <f>I17+K17</f>
        <v/>
      </c>
      <c r="D17" s="3">
        <f>B17-C17</f>
        <v/>
      </c>
      <c r="E17" s="4">
        <f>IF(B17=0,"",D17/B17)</f>
        <v/>
      </c>
      <c r="F17" s="3">
        <f>IF(J17=0,"",D17/J17)</f>
        <v/>
      </c>
      <c r="G17" s="2" t="n">
        <v>18</v>
      </c>
      <c r="H17" s="2" t="n">
        <v>18</v>
      </c>
      <c r="I17" s="3">
        <f>R17*H17</f>
        <v/>
      </c>
      <c r="J17" s="2" t="n">
        <v>17</v>
      </c>
      <c r="K17" s="3" t="n">
        <v>0</v>
      </c>
      <c r="L17" s="2" t="n">
        <v>1</v>
      </c>
      <c r="M17" s="2" t="n">
        <v>0</v>
      </c>
      <c r="N17" s="4">
        <f>IF(H17=0,"",L17/H17)</f>
        <v/>
      </c>
      <c r="O17" s="4">
        <f>IF(G17=0,"",H17/G17)</f>
        <v/>
      </c>
      <c r="P17" s="4">
        <f>IF(G17=0,"",J17/G17)</f>
        <v/>
      </c>
      <c r="Q17" s="4">
        <f>IF(G17=0,"",(G17-H17)/G17)</f>
        <v/>
      </c>
      <c r="R17" s="3" t="n">
        <v>0</v>
      </c>
    </row>
    <row r="18">
      <c r="A18" s="2" t="inlineStr">
        <is>
          <t>V2-V4 Combo</t>
        </is>
      </c>
      <c r="B18" s="3" t="n">
        <v>14817.82</v>
      </c>
      <c r="C18" s="3">
        <f>I18+K18</f>
        <v/>
      </c>
      <c r="D18" s="3">
        <f>B18-C18</f>
        <v/>
      </c>
      <c r="E18" s="4">
        <f>IF(B18=0,"",D18/B18)</f>
        <v/>
      </c>
      <c r="F18" s="3">
        <f>IF(J18=0,"",D18/J18)</f>
        <v/>
      </c>
      <c r="G18" s="2" t="n">
        <v>10</v>
      </c>
      <c r="H18" s="2" t="n">
        <v>10</v>
      </c>
      <c r="I18" s="3">
        <f>R18*H18</f>
        <v/>
      </c>
      <c r="J18" s="2" t="n">
        <v>10</v>
      </c>
      <c r="K18" s="3" t="n">
        <v>0</v>
      </c>
      <c r="L18" s="2" t="n">
        <v>0</v>
      </c>
      <c r="M18" s="2" t="n">
        <v>0</v>
      </c>
      <c r="N18" s="4">
        <f>IF(H18=0,"",L18/H18)</f>
        <v/>
      </c>
      <c r="O18" s="4">
        <f>IF(G18=0,"",H18/G18)</f>
        <v/>
      </c>
      <c r="P18" s="4">
        <f>IF(G18=0,"",J18/G18)</f>
        <v/>
      </c>
      <c r="Q18" s="4">
        <f>IF(G18=0,"",(G18-H18)/G18)</f>
        <v/>
      </c>
      <c r="R18" s="3" t="n">
        <v>0</v>
      </c>
    </row>
    <row r="19">
      <c r="A19" s="2" t="inlineStr">
        <is>
          <t>V9-V2 Combo</t>
        </is>
      </c>
      <c r="B19" s="3" t="n">
        <v>128700.87</v>
      </c>
      <c r="C19" s="3">
        <f>I19+K19</f>
        <v/>
      </c>
      <c r="D19" s="3">
        <f>B19-C19</f>
        <v/>
      </c>
      <c r="E19" s="4">
        <f>IF(B19=0,"",D19/B19)</f>
        <v/>
      </c>
      <c r="F19" s="3">
        <f>IF(J19=0,"",D19/J19)</f>
        <v/>
      </c>
      <c r="G19" s="2" t="n">
        <v>51</v>
      </c>
      <c r="H19" s="2" t="n">
        <v>51</v>
      </c>
      <c r="I19" s="3">
        <f>R19*H19</f>
        <v/>
      </c>
      <c r="J19" s="2" t="n">
        <v>49</v>
      </c>
      <c r="K19" s="3" t="n">
        <v>0</v>
      </c>
      <c r="L19" s="2" t="n">
        <v>2</v>
      </c>
      <c r="M19" s="2" t="n">
        <v>0</v>
      </c>
      <c r="N19" s="4">
        <f>IF(H19=0,"",L19/H19)</f>
        <v/>
      </c>
      <c r="O19" s="4">
        <f>IF(G19=0,"",H19/G19)</f>
        <v/>
      </c>
      <c r="P19" s="4">
        <f>IF(G19=0,"",J19/G19)</f>
        <v/>
      </c>
      <c r="Q19" s="4">
        <f>IF(G19=0,"",(G19-H19)/G19)</f>
        <v/>
      </c>
      <c r="R19" s="3" t="n">
        <v>0</v>
      </c>
    </row>
    <row r="20">
      <c r="A20" s="2" t="inlineStr">
        <is>
          <t>V9-V3 Combo</t>
        </is>
      </c>
      <c r="B20" s="3" t="n">
        <v>123139.25</v>
      </c>
      <c r="C20" s="3">
        <f>I20+K20</f>
        <v/>
      </c>
      <c r="D20" s="3">
        <f>B20-C20</f>
        <v/>
      </c>
      <c r="E20" s="4">
        <f>IF(B20=0,"",D20/B20)</f>
        <v/>
      </c>
      <c r="F20" s="3">
        <f>IF(J20=0,"",D20/J20)</f>
        <v/>
      </c>
      <c r="G20" s="2" t="n">
        <v>45</v>
      </c>
      <c r="H20" s="2" t="n">
        <v>44</v>
      </c>
      <c r="I20" s="3">
        <f>R20*H20</f>
        <v/>
      </c>
      <c r="J20" s="2" t="n">
        <v>44</v>
      </c>
      <c r="K20" s="3" t="n">
        <v>0</v>
      </c>
      <c r="L20" s="2" t="n">
        <v>0</v>
      </c>
      <c r="M20" s="2" t="n">
        <v>0</v>
      </c>
      <c r="N20" s="4">
        <f>IF(H20=0,"",L20/H20)</f>
        <v/>
      </c>
      <c r="O20" s="4">
        <f>IF(G20=0,"",H20/G20)</f>
        <v/>
      </c>
      <c r="P20" s="4">
        <f>IF(G20=0,"",J20/G20)</f>
        <v/>
      </c>
      <c r="Q20" s="4">
        <f>IF(G20=0,"",(G20-H20)/G20)</f>
        <v/>
      </c>
      <c r="R20" s="3" t="n">
        <v>0</v>
      </c>
    </row>
    <row r="21">
      <c r="A21" s="2" t="inlineStr">
        <is>
          <t>V9-V10 Combo</t>
        </is>
      </c>
      <c r="B21" s="3" t="n">
        <v>159466.27</v>
      </c>
      <c r="C21" s="3">
        <f>I21+K21</f>
        <v/>
      </c>
      <c r="D21" s="3">
        <f>B21-C21</f>
        <v/>
      </c>
      <c r="E21" s="4">
        <f>IF(B21=0,"",D21/B21)</f>
        <v/>
      </c>
      <c r="F21" s="3">
        <f>IF(J21=0,"",D21/J21)</f>
        <v/>
      </c>
      <c r="G21" s="2" t="n">
        <v>63</v>
      </c>
      <c r="H21" s="2" t="n">
        <v>62</v>
      </c>
      <c r="I21" s="3">
        <f>R21*H21</f>
        <v/>
      </c>
      <c r="J21" s="2" t="n">
        <v>60</v>
      </c>
      <c r="K21" s="3" t="n">
        <v>0</v>
      </c>
      <c r="L21" s="2" t="n">
        <v>2</v>
      </c>
      <c r="M21" s="2" t="n">
        <v>0</v>
      </c>
      <c r="N21" s="4">
        <f>IF(H21=0,"",L21/H21)</f>
        <v/>
      </c>
      <c r="O21" s="4">
        <f>IF(G21=0,"",H21/G21)</f>
        <v/>
      </c>
      <c r="P21" s="4">
        <f>IF(G21=0,"",J21/G21)</f>
        <v/>
      </c>
      <c r="Q21" s="4">
        <f>IF(G21=0,"",(G21-H21)/G21)</f>
        <v/>
      </c>
      <c r="R21" s="3" t="n">
        <v>0</v>
      </c>
    </row>
    <row r="22">
      <c r="A22" s="2" t="inlineStr">
        <is>
          <t>Busy Book Blue</t>
        </is>
      </c>
      <c r="B22" s="3" t="n">
        <v>273143.99</v>
      </c>
      <c r="C22" s="3">
        <f>I22+K22</f>
        <v/>
      </c>
      <c r="D22" s="3">
        <f>B22-C22</f>
        <v/>
      </c>
      <c r="E22" s="4">
        <f>IF(B22=0,"",D22/B22)</f>
        <v/>
      </c>
      <c r="F22" s="3">
        <f>IF(J22=0,"",D22/J22)</f>
        <v/>
      </c>
      <c r="G22" s="2" t="n">
        <v>375</v>
      </c>
      <c r="H22" s="2" t="n">
        <v>372</v>
      </c>
      <c r="I22" s="3">
        <f>R22*H22</f>
        <v/>
      </c>
      <c r="J22" s="2" t="n">
        <v>362</v>
      </c>
      <c r="K22" s="3" t="n">
        <v>0</v>
      </c>
      <c r="L22" s="2" t="n">
        <v>10</v>
      </c>
      <c r="M22" s="2" t="n">
        <v>0</v>
      </c>
      <c r="N22" s="4">
        <f>IF(H22=0,"",L22/H22)</f>
        <v/>
      </c>
      <c r="O22" s="4">
        <f>IF(G22=0,"",H22/G22)</f>
        <v/>
      </c>
      <c r="P22" s="4">
        <f>IF(G22=0,"",J22/G22)</f>
        <v/>
      </c>
      <c r="Q22" s="4">
        <f>IF(G22=0,"",(G22-H22)/G22)</f>
        <v/>
      </c>
      <c r="R22" s="3" t="n">
        <v>0</v>
      </c>
    </row>
    <row r="23">
      <c r="A23" s="2" t="inlineStr">
        <is>
          <t>Busy Book Pink</t>
        </is>
      </c>
      <c r="B23" s="3" t="n">
        <v>20045.49</v>
      </c>
      <c r="C23" s="3">
        <f>I23+K23</f>
        <v/>
      </c>
      <c r="D23" s="3">
        <f>B23-C23</f>
        <v/>
      </c>
      <c r="E23" s="4">
        <f>IF(B23=0,"",D23/B23)</f>
        <v/>
      </c>
      <c r="F23" s="3">
        <f>IF(J23=0,"",D23/J23)</f>
        <v/>
      </c>
      <c r="G23" s="2" t="n">
        <v>29</v>
      </c>
      <c r="H23" s="2" t="n">
        <v>29</v>
      </c>
      <c r="I23" s="3">
        <f>R23*H23</f>
        <v/>
      </c>
      <c r="J23" s="2" t="n">
        <v>26</v>
      </c>
      <c r="K23" s="3" t="n">
        <v>0</v>
      </c>
      <c r="L23" s="2" t="n">
        <v>3</v>
      </c>
      <c r="M23" s="2" t="n">
        <v>0</v>
      </c>
      <c r="N23" s="4">
        <f>IF(H23=0,"",L23/H23)</f>
        <v/>
      </c>
      <c r="O23" s="4">
        <f>IF(G23=0,"",H23/G23)</f>
        <v/>
      </c>
      <c r="P23" s="4">
        <f>IF(G23=0,"",J23/G23)</f>
        <v/>
      </c>
      <c r="Q23" s="4">
        <f>IF(G23=0,"",(G23-H23)/G23)</f>
        <v/>
      </c>
      <c r="R23" s="3" t="n">
        <v>0</v>
      </c>
    </row>
    <row r="24">
      <c r="A24" s="2" t="inlineStr">
        <is>
          <t>Human Book</t>
        </is>
      </c>
      <c r="B24" s="3" t="n">
        <v>799</v>
      </c>
      <c r="C24" s="3">
        <f>I24+K24</f>
        <v/>
      </c>
      <c r="D24" s="3">
        <f>B24-C24</f>
        <v/>
      </c>
      <c r="E24" s="4">
        <f>IF(B24=0,"",D24/B24)</f>
        <v/>
      </c>
      <c r="F24" s="3">
        <f>IF(J24=0,"",D24/J24)</f>
        <v/>
      </c>
      <c r="G24" s="2" t="n">
        <v>1</v>
      </c>
      <c r="H24" s="2" t="n">
        <v>1</v>
      </c>
      <c r="I24" s="3">
        <f>R24*H24</f>
        <v/>
      </c>
      <c r="J24" s="2" t="n">
        <v>1</v>
      </c>
      <c r="K24" s="3" t="n">
        <v>0</v>
      </c>
      <c r="L24" s="2" t="n">
        <v>0</v>
      </c>
      <c r="M24" s="2" t="n">
        <v>0</v>
      </c>
      <c r="N24" s="4">
        <f>IF(H24=0,"",L24/H24)</f>
        <v/>
      </c>
      <c r="O24" s="4">
        <f>IF(G24=0,"",H24/G24)</f>
        <v/>
      </c>
      <c r="P24" s="4">
        <f>IF(G24=0,"",J24/G24)</f>
        <v/>
      </c>
      <c r="Q24" s="4">
        <f>IF(G24=0,"",(G24-H24)/G24)</f>
        <v/>
      </c>
      <c r="R24" s="3" t="n">
        <v>0</v>
      </c>
    </row>
    <row r="25">
      <c r="A25" s="2" t="inlineStr">
        <is>
          <t>Ganesha</t>
        </is>
      </c>
      <c r="B25" s="3" t="n">
        <v>32527.1</v>
      </c>
      <c r="C25" s="3">
        <f>I25+K25</f>
        <v/>
      </c>
      <c r="D25" s="3">
        <f>B25-C25</f>
        <v/>
      </c>
      <c r="E25" s="4">
        <f>IF(B25=0,"",D25/B25)</f>
        <v/>
      </c>
      <c r="F25" s="3">
        <f>IF(J25=0,"",D25/J25)</f>
        <v/>
      </c>
      <c r="G25" s="2" t="n">
        <v>99</v>
      </c>
      <c r="H25" s="2" t="n">
        <v>63</v>
      </c>
      <c r="I25" s="3">
        <f>R25*H25</f>
        <v/>
      </c>
      <c r="J25" s="2" t="n">
        <v>53</v>
      </c>
      <c r="K25" s="3" t="n">
        <v>0</v>
      </c>
      <c r="L25" s="2" t="n">
        <v>10</v>
      </c>
      <c r="M25" s="2" t="n">
        <v>0</v>
      </c>
      <c r="N25" s="4">
        <f>IF(H25=0,"",L25/H25)</f>
        <v/>
      </c>
      <c r="O25" s="4">
        <f>IF(G25=0,"",H25/G25)</f>
        <v/>
      </c>
      <c r="P25" s="4">
        <f>IF(G25=0,"",J25/G25)</f>
        <v/>
      </c>
      <c r="Q25" s="4">
        <f>IF(G25=0,"",(G25-H25)/G25)</f>
        <v/>
      </c>
      <c r="R25" s="3" t="n">
        <v>0</v>
      </c>
    </row>
    <row r="26">
      <c r="A26" s="2" t="inlineStr">
        <is>
          <t>Krishna</t>
        </is>
      </c>
      <c r="B26" s="3" t="n">
        <v>6113.2</v>
      </c>
      <c r="C26" s="3">
        <f>I26+K26</f>
        <v/>
      </c>
      <c r="D26" s="3">
        <f>B26-C26</f>
        <v/>
      </c>
      <c r="E26" s="4">
        <f>IF(B26=0,"",D26/B26)</f>
        <v/>
      </c>
      <c r="F26" s="3">
        <f>IF(J26=0,"",D26/J26)</f>
        <v/>
      </c>
      <c r="G26" s="2" t="n">
        <v>33</v>
      </c>
      <c r="H26" s="2" t="n">
        <v>9</v>
      </c>
      <c r="I26" s="3">
        <f>R26*H26</f>
        <v/>
      </c>
      <c r="J26" s="2" t="n">
        <v>7</v>
      </c>
      <c r="K26" s="3" t="n">
        <v>0</v>
      </c>
      <c r="L26" s="2" t="n">
        <v>1</v>
      </c>
      <c r="M26" s="2" t="n">
        <v>1</v>
      </c>
      <c r="N26" s="4">
        <f>IF(H26=0,"",L26/H26)</f>
        <v/>
      </c>
      <c r="O26" s="4">
        <f>IF(G26=0,"",H26/G26)</f>
        <v/>
      </c>
      <c r="P26" s="4">
        <f>IF(G26=0,"",J26/G26)</f>
        <v/>
      </c>
      <c r="Q26" s="4">
        <f>IF(G26=0,"",(G26-H26)/G26)</f>
        <v/>
      </c>
      <c r="R26" s="3" t="n">
        <v>0</v>
      </c>
    </row>
    <row r="27">
      <c r="A27" s="2" t="inlineStr">
        <is>
          <t>Car</t>
        </is>
      </c>
      <c r="B27" s="3" t="n">
        <v>68117.35000000001</v>
      </c>
      <c r="C27" s="3">
        <f>I27+K27</f>
        <v/>
      </c>
      <c r="D27" s="3">
        <f>B27-C27</f>
        <v/>
      </c>
      <c r="E27" s="4">
        <f>IF(B27=0,"",D27/B27)</f>
        <v/>
      </c>
      <c r="F27" s="3">
        <f>IF(J27=0,"",D27/J27)</f>
        <v/>
      </c>
      <c r="G27" s="2" t="n">
        <v>123</v>
      </c>
      <c r="H27" s="2" t="n">
        <v>91</v>
      </c>
      <c r="I27" s="3">
        <f>R27*H27</f>
        <v/>
      </c>
      <c r="J27" s="2" t="n">
        <v>59</v>
      </c>
      <c r="K27" s="3" t="n">
        <v>0</v>
      </c>
      <c r="L27" s="2" t="n">
        <v>31</v>
      </c>
      <c r="M27" s="2" t="n">
        <v>1</v>
      </c>
      <c r="N27" s="4">
        <f>IF(H27=0,"",L27/H27)</f>
        <v/>
      </c>
      <c r="O27" s="4">
        <f>IF(G27=0,"",H27/G27)</f>
        <v/>
      </c>
      <c r="P27" s="4">
        <f>IF(G27=0,"",J27/G27)</f>
        <v/>
      </c>
      <c r="Q27" s="4">
        <f>IF(G27=0,"",(G27-H27)/G27)</f>
        <v/>
      </c>
      <c r="R27" s="3" t="n">
        <v>0</v>
      </c>
    </row>
    <row r="28">
      <c r="A28" s="2" t="inlineStr">
        <is>
          <t>Tank</t>
        </is>
      </c>
      <c r="B28" s="3" t="n">
        <v>329878.74</v>
      </c>
      <c r="C28" s="3">
        <f>I28+K28</f>
        <v/>
      </c>
      <c r="D28" s="3">
        <f>B28-C28</f>
        <v/>
      </c>
      <c r="E28" s="4">
        <f>IF(B28=0,"",D28/B28)</f>
        <v/>
      </c>
      <c r="F28" s="3">
        <f>IF(J28=0,"",D28/J28)</f>
        <v/>
      </c>
      <c r="G28" s="2" t="n">
        <v>360</v>
      </c>
      <c r="H28" s="2" t="n">
        <v>293</v>
      </c>
      <c r="I28" s="3">
        <f>R28*H28</f>
        <v/>
      </c>
      <c r="J28" s="2" t="n">
        <v>218</v>
      </c>
      <c r="K28" s="3" t="n">
        <v>0</v>
      </c>
      <c r="L28" s="2" t="n">
        <v>71</v>
      </c>
      <c r="M28" s="2" t="n">
        <v>4</v>
      </c>
      <c r="N28" s="4">
        <f>IF(H28=0,"",L28/H28)</f>
        <v/>
      </c>
      <c r="O28" s="4">
        <f>IF(G28=0,"",H28/G28)</f>
        <v/>
      </c>
      <c r="P28" s="4">
        <f>IF(G28=0,"",J28/G28)</f>
        <v/>
      </c>
      <c r="Q28" s="4">
        <f>IF(G28=0,"",(G28-H28)/G28)</f>
        <v/>
      </c>
      <c r="R28" s="3" t="n">
        <v>0</v>
      </c>
    </row>
    <row r="29">
      <c r="A29" s="2" t="inlineStr">
        <is>
          <t>JCB</t>
        </is>
      </c>
      <c r="B29" s="3" t="n">
        <v>0</v>
      </c>
      <c r="C29" s="3">
        <f>I29+K29</f>
        <v/>
      </c>
      <c r="D29" s="3">
        <f>B29-C29</f>
        <v/>
      </c>
      <c r="E29" s="4">
        <f>IF(B29=0,"",D29/B29)</f>
        <v/>
      </c>
      <c r="F29" s="3">
        <f>IF(J29=0,"",D29/J29)</f>
        <v/>
      </c>
      <c r="G29" s="2" t="n">
        <v>3</v>
      </c>
      <c r="H29" s="2" t="n">
        <v>1</v>
      </c>
      <c r="I29" s="3">
        <f>R29*H29</f>
        <v/>
      </c>
      <c r="J29" s="2" t="n">
        <v>0</v>
      </c>
      <c r="K29" s="3" t="n">
        <v>0</v>
      </c>
      <c r="L29" s="2" t="n">
        <v>0</v>
      </c>
      <c r="M29" s="2" t="n">
        <v>1</v>
      </c>
      <c r="N29" s="4">
        <f>IF(H29=0,"",L29/H29)</f>
        <v/>
      </c>
      <c r="O29" s="4">
        <f>IF(G29=0,"",H29/G29)</f>
        <v/>
      </c>
      <c r="P29" s="4">
        <f>IF(G29=0,"",J29/G29)</f>
        <v/>
      </c>
      <c r="Q29" s="4">
        <f>IF(G29=0,"",(G29-H29)/G29)</f>
        <v/>
      </c>
      <c r="R29" s="3" t="n">
        <v>0</v>
      </c>
    </row>
    <row r="30">
      <c r="A30" s="5" t="inlineStr">
        <is>
          <t>TOTAL</t>
        </is>
      </c>
      <c r="B30" s="6">
        <f>SUM(B2:B29)</f>
        <v/>
      </c>
      <c r="C30" s="6">
        <f>I30+K30</f>
        <v/>
      </c>
      <c r="D30" s="6">
        <f>B30-C30</f>
        <v/>
      </c>
      <c r="E30" s="7">
        <f>IF(B30=0,"",D30/B30)</f>
        <v/>
      </c>
      <c r="F30" s="6">
        <f>IF(J30=0,"",D30/J30)</f>
        <v/>
      </c>
      <c r="G30" s="6">
        <f>SUM(G2:G29)</f>
        <v/>
      </c>
      <c r="H30" s="6">
        <f>SUM(H2:H29)</f>
        <v/>
      </c>
      <c r="I30" s="6">
        <f>SUM(I2:I29)</f>
        <v/>
      </c>
      <c r="J30" s="6">
        <f>SUM(J2:J29)</f>
        <v/>
      </c>
      <c r="K30" s="6">
        <f>SUM(K2:K29)</f>
        <v/>
      </c>
      <c r="L30" s="6">
        <f>SUM(L2:L29)</f>
        <v/>
      </c>
      <c r="M30" s="6">
        <f>SUM(M2:M29)</f>
        <v/>
      </c>
      <c r="N30" s="7">
        <f>IF(H30=0,"",L30/H30)</f>
        <v/>
      </c>
      <c r="O30" s="7">
        <f>IF(G30=0,"",H30/G30)</f>
        <v/>
      </c>
      <c r="P30" s="7">
        <f>IF(G30=0,"",J30/G30)</f>
        <v/>
      </c>
      <c r="Q30" s="7">
        <f>IF(G30=0,"",(G30-H30)/G30)</f>
        <v/>
      </c>
      <c r="R3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2026-03-10T14:36:19Z</dcterms:created>
  <dcterms:modified xmlns:dcterms="http://purl.org/dc/terms/" xmlns:xsi="http://www.w3.org/2001/XMLSchema-instance" xsi:type="dcterms:W3CDTF">2026-03-10T14:36:19Z</dcterms:modified>
</cp:coreProperties>
</file>